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ZHENG_YUNH\Downloads\"/>
    </mc:Choice>
  </mc:AlternateContent>
  <bookViews>
    <workbookView xWindow="0" yWindow="0" windowWidth="28800" windowHeight="12300" tabRatio="665" firstSheet="4" activeTab="8"/>
  </bookViews>
  <sheets>
    <sheet name="Prof and Courses" sheetId="8" state="hidden" r:id="rId1"/>
    <sheet name="All Courses" sheetId="4" state="hidden" r:id="rId2"/>
    <sheet name="Course Input " sheetId="5" state="hidden" r:id="rId3"/>
    <sheet name="Courses" sheetId="1" state="hidden" r:id="rId4"/>
    <sheet name="Instructions" sheetId="11" r:id="rId5"/>
    <sheet name="Num Sections" sheetId="7" r:id="rId6"/>
    <sheet name="Sections List" sheetId="9" r:id="rId7"/>
    <sheet name="Blocks" sheetId="10" r:id="rId8"/>
    <sheet name="Block Preference" sheetId="3" r:id="rId9"/>
    <sheet name="Professors" sheetId="2" state="hidden" r:id="rId10"/>
    <sheet name="FinalSchedule" sheetId="12" r:id="rId11"/>
    <sheet name="Select Professor Form" sheetId="6" r:id="rId12"/>
  </sheets>
  <functionGroups builtInGroupCount="18"/>
  <externalReferences>
    <externalReference r:id="rId13"/>
  </externalReferences>
  <definedNames>
    <definedName name="numSections" localSheetId="4">OFFSET('[1]Num Sections'!$A$1,1,0,COUNTA('[1]Num Sections'!$A:$A)-1,2)</definedName>
    <definedName name="numSections">OFFSET('Num Sections'!$A$1,1,0,COUNTA('Num Sections'!$A:$A)-1,2)</definedName>
    <definedName name="sections" localSheetId="4">OFFSET('[1]Sections List'!$A$1,1,0,COUNTA('[1]Sections List'!$A:$A)-1,1)</definedName>
    <definedName name="sections">OFFSET('Sections List'!$A$1,1,0,COUNTA('Sections List'!$A:$A)-1,1)</definedName>
  </definedNames>
  <calcPr calcId="162913" concurrentCalc="0"/>
</workbook>
</file>

<file path=xl/calcChain.xml><?xml version="1.0" encoding="utf-8"?>
<calcChain xmlns="http://schemas.openxmlformats.org/spreadsheetml/2006/main">
  <c r="A18" i="10" l="1"/>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3" i="10"/>
  <c r="A4" i="10"/>
  <c r="A5" i="10"/>
  <c r="A6" i="10"/>
  <c r="A7" i="10"/>
  <c r="A8" i="10"/>
  <c r="A9" i="10"/>
  <c r="A10" i="10"/>
  <c r="A11" i="10"/>
  <c r="A12" i="10"/>
  <c r="A13" i="10"/>
  <c r="A14" i="10"/>
  <c r="A15" i="10"/>
  <c r="A16" i="10"/>
  <c r="A17" i="10"/>
  <c r="A2" i="10"/>
  <c r="C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F2" i="10"/>
  <c r="F3" i="10"/>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G2" i="10"/>
  <c r="G3" i="10"/>
  <c r="G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H2" i="10"/>
  <c r="H3" i="10"/>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I2" i="10"/>
  <c r="I3" i="10"/>
  <c r="I4"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J2" i="10"/>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K2" i="10"/>
  <c r="K3"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M2" i="10"/>
  <c r="M3" i="10"/>
  <c r="M4" i="10"/>
  <c r="M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8" i="10"/>
  <c r="M99" i="10"/>
  <c r="M100" i="10"/>
  <c r="M101" i="10"/>
  <c r="M102" i="10"/>
  <c r="N2" i="10"/>
  <c r="N3" i="10"/>
  <c r="N4" i="10"/>
  <c r="N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87" i="10"/>
  <c r="N88" i="10"/>
  <c r="N89" i="10"/>
  <c r="N90" i="10"/>
  <c r="N91" i="10"/>
  <c r="N92" i="10"/>
  <c r="N93" i="10"/>
  <c r="N94" i="10"/>
  <c r="N95" i="10"/>
  <c r="N96" i="10"/>
  <c r="N97" i="10"/>
  <c r="N98" i="10"/>
  <c r="N99" i="10"/>
  <c r="N100" i="10"/>
  <c r="N101" i="10"/>
  <c r="N102" i="10"/>
  <c r="O2" i="10"/>
  <c r="O3" i="10"/>
  <c r="O4" i="10"/>
  <c r="O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P2" i="10"/>
  <c r="P3" i="10"/>
  <c r="P4" i="10"/>
  <c r="P5" i="10"/>
  <c r="P6" i="10"/>
  <c r="P7" i="10"/>
  <c r="P8" i="10"/>
  <c r="P9" i="10"/>
  <c r="P10" i="10"/>
  <c r="P11" i="10"/>
  <c r="P12" i="10"/>
  <c r="P13" i="10"/>
  <c r="P14"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Q2" i="10"/>
  <c r="Q3" i="10"/>
  <c r="Q4"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Q31" i="10"/>
  <c r="Q32" i="10"/>
  <c r="Q33" i="10"/>
  <c r="Q34" i="10"/>
  <c r="Q35" i="10"/>
  <c r="Q36" i="10"/>
  <c r="Q37" i="10"/>
  <c r="Q38" i="10"/>
  <c r="Q39" i="10"/>
  <c r="Q40" i="10"/>
  <c r="Q41" i="10"/>
  <c r="Q42" i="10"/>
  <c r="Q43" i="10"/>
  <c r="Q44" i="10"/>
  <c r="Q45" i="10"/>
  <c r="Q46" i="10"/>
  <c r="Q47" i="10"/>
  <c r="Q48" i="10"/>
  <c r="Q49" i="10"/>
  <c r="Q50" i="10"/>
  <c r="Q51" i="10"/>
  <c r="Q52" i="10"/>
  <c r="Q53" i="10"/>
  <c r="Q54" i="10"/>
  <c r="Q55" i="10"/>
  <c r="Q56" i="10"/>
  <c r="Q57" i="10"/>
  <c r="Q58" i="10"/>
  <c r="Q59" i="10"/>
  <c r="Q60" i="10"/>
  <c r="Q61" i="10"/>
  <c r="Q62" i="10"/>
  <c r="Q63" i="10"/>
  <c r="Q64" i="10"/>
  <c r="Q65" i="10"/>
  <c r="Q66" i="10"/>
  <c r="Q67" i="10"/>
  <c r="Q68" i="10"/>
  <c r="Q69" i="10"/>
  <c r="Q70" i="10"/>
  <c r="Q71" i="10"/>
  <c r="Q72" i="10"/>
  <c r="Q73" i="10"/>
  <c r="Q74" i="10"/>
  <c r="Q75" i="10"/>
  <c r="Q76" i="10"/>
  <c r="Q77" i="10"/>
  <c r="Q78" i="10"/>
  <c r="Q79" i="10"/>
  <c r="Q80" i="10"/>
  <c r="Q81" i="10"/>
  <c r="Q82" i="10"/>
  <c r="Q83" i="10"/>
  <c r="Q84" i="10"/>
  <c r="Q85" i="10"/>
  <c r="Q86" i="10"/>
  <c r="Q87" i="10"/>
  <c r="Q88" i="10"/>
  <c r="Q89" i="10"/>
  <c r="Q90" i="10"/>
  <c r="Q91" i="10"/>
  <c r="Q92" i="10"/>
  <c r="Q93" i="10"/>
  <c r="Q94" i="10"/>
  <c r="Q95" i="10"/>
  <c r="Q96" i="10"/>
  <c r="Q97" i="10"/>
  <c r="Q98" i="10"/>
  <c r="Q99" i="10"/>
  <c r="Q100" i="10"/>
  <c r="Q101" i="10"/>
  <c r="Q102" i="10"/>
  <c r="R2" i="10"/>
  <c r="R3" i="10"/>
  <c r="R4" i="10"/>
  <c r="R5" i="10"/>
  <c r="R6" i="10"/>
  <c r="R7" i="10"/>
  <c r="R8" i="10"/>
  <c r="R9" i="10"/>
  <c r="R10" i="10"/>
  <c r="R11"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87" i="10"/>
  <c r="R88" i="10"/>
  <c r="R89" i="10"/>
  <c r="R90" i="10"/>
  <c r="R91" i="10"/>
  <c r="R92" i="10"/>
  <c r="R93" i="10"/>
  <c r="R94" i="10"/>
  <c r="R95" i="10"/>
  <c r="R96" i="10"/>
  <c r="R97" i="10"/>
  <c r="R98" i="10"/>
  <c r="R99" i="10"/>
  <c r="R100" i="10"/>
  <c r="R101" i="10"/>
  <c r="R102" i="10"/>
  <c r="S2" i="10"/>
  <c r="S3" i="10"/>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T2" i="10"/>
  <c r="T3"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U2" i="10"/>
  <c r="U3" i="10"/>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V2" i="10"/>
  <c r="V3" i="10"/>
  <c r="V4" i="10"/>
  <c r="V5" i="10"/>
  <c r="V6" i="10"/>
  <c r="V7" i="10"/>
  <c r="V8" i="10"/>
  <c r="V9" i="10"/>
  <c r="V10" i="10"/>
  <c r="V11" i="10"/>
  <c r="V12" i="10"/>
  <c r="V13" i="10"/>
  <c r="V14" i="10"/>
  <c r="V15" i="10"/>
  <c r="V16" i="10"/>
  <c r="V17" i="10"/>
  <c r="V18" i="10"/>
  <c r="V19" i="10"/>
  <c r="V20" i="10"/>
  <c r="V21" i="10"/>
  <c r="V22" i="10"/>
  <c r="V23" i="10"/>
  <c r="V24" i="10"/>
  <c r="V25" i="10"/>
  <c r="V26" i="10"/>
  <c r="V27" i="10"/>
  <c r="V28" i="10"/>
  <c r="V29" i="10"/>
  <c r="V30" i="10"/>
  <c r="V31" i="10"/>
  <c r="V32" i="10"/>
  <c r="V33" i="10"/>
  <c r="V34" i="10"/>
  <c r="V35" i="10"/>
  <c r="V36" i="10"/>
  <c r="V37" i="10"/>
  <c r="V38" i="10"/>
  <c r="V39" i="10"/>
  <c r="V40" i="10"/>
  <c r="V41" i="10"/>
  <c r="V42" i="10"/>
  <c r="V43" i="10"/>
  <c r="V44" i="10"/>
  <c r="V45" i="10"/>
  <c r="V46" i="10"/>
  <c r="V47" i="10"/>
  <c r="V48" i="10"/>
  <c r="V49" i="10"/>
  <c r="V50" i="10"/>
  <c r="V51" i="10"/>
  <c r="V52" i="10"/>
  <c r="V53" i="10"/>
  <c r="V54" i="10"/>
  <c r="V55" i="10"/>
  <c r="V56" i="10"/>
  <c r="V57" i="10"/>
  <c r="V58" i="10"/>
  <c r="V59" i="10"/>
  <c r="V60" i="10"/>
  <c r="V61" i="10"/>
  <c r="V62" i="10"/>
  <c r="V63" i="10"/>
  <c r="V64" i="10"/>
  <c r="V65" i="10"/>
  <c r="V66" i="10"/>
  <c r="V67" i="10"/>
  <c r="V68" i="10"/>
  <c r="V69" i="10"/>
  <c r="V70" i="10"/>
  <c r="V71" i="10"/>
  <c r="V72" i="10"/>
  <c r="V73" i="10"/>
  <c r="V74" i="10"/>
  <c r="V75" i="10"/>
  <c r="V76" i="10"/>
  <c r="V77" i="10"/>
  <c r="V78" i="10"/>
  <c r="V79" i="10"/>
  <c r="V80" i="10"/>
  <c r="V81" i="10"/>
  <c r="V82" i="10"/>
  <c r="V83" i="10"/>
  <c r="V84" i="10"/>
  <c r="V85" i="10"/>
  <c r="V86" i="10"/>
  <c r="V87" i="10"/>
  <c r="V88" i="10"/>
  <c r="V89" i="10"/>
  <c r="V90" i="10"/>
  <c r="V91" i="10"/>
  <c r="V92" i="10"/>
  <c r="V93" i="10"/>
  <c r="V94" i="10"/>
  <c r="V95" i="10"/>
  <c r="V96" i="10"/>
  <c r="V97" i="10"/>
  <c r="V98" i="10"/>
  <c r="V99" i="10"/>
  <c r="V100" i="10"/>
  <c r="V101" i="10"/>
  <c r="V102" i="10"/>
  <c r="W2" i="10"/>
  <c r="W3" i="10"/>
  <c r="W4" i="10"/>
  <c r="W5" i="10"/>
  <c r="W6" i="10"/>
  <c r="W7" i="10"/>
  <c r="W8" i="10"/>
  <c r="W9" i="10"/>
  <c r="W10" i="10"/>
  <c r="W11" i="10"/>
  <c r="W12" i="10"/>
  <c r="W13" i="10"/>
  <c r="W14" i="10"/>
  <c r="W15" i="10"/>
  <c r="W16" i="10"/>
  <c r="W17" i="10"/>
  <c r="W18" i="10"/>
  <c r="W19" i="10"/>
  <c r="W20" i="10"/>
  <c r="W21" i="10"/>
  <c r="W22" i="10"/>
  <c r="W23" i="10"/>
  <c r="W24" i="10"/>
  <c r="W25" i="10"/>
  <c r="W26" i="10"/>
  <c r="W27" i="10"/>
  <c r="W28" i="10"/>
  <c r="W29" i="10"/>
  <c r="W30" i="10"/>
  <c r="W31" i="10"/>
  <c r="W32" i="10"/>
  <c r="W33" i="10"/>
  <c r="W34" i="10"/>
  <c r="W35" i="10"/>
  <c r="W36" i="10"/>
  <c r="W37" i="10"/>
  <c r="W38" i="10"/>
  <c r="W39" i="10"/>
  <c r="W40" i="10"/>
  <c r="W41" i="10"/>
  <c r="W42" i="10"/>
  <c r="W43" i="10"/>
  <c r="W44" i="10"/>
  <c r="W45" i="10"/>
  <c r="W46" i="10"/>
  <c r="W47" i="10"/>
  <c r="W48" i="10"/>
  <c r="W49" i="10"/>
  <c r="W50" i="10"/>
  <c r="W51" i="10"/>
  <c r="W52" i="10"/>
  <c r="W53" i="10"/>
  <c r="W54" i="10"/>
  <c r="W55" i="10"/>
  <c r="W56" i="10"/>
  <c r="W57" i="10"/>
  <c r="W58" i="10"/>
  <c r="W59" i="10"/>
  <c r="W60" i="10"/>
  <c r="W61" i="10"/>
  <c r="W62" i="10"/>
  <c r="W63" i="10"/>
  <c r="W64" i="10"/>
  <c r="W65" i="10"/>
  <c r="W66" i="10"/>
  <c r="W67" i="10"/>
  <c r="W68" i="10"/>
  <c r="W69" i="10"/>
  <c r="W70" i="10"/>
  <c r="W71" i="10"/>
  <c r="W72" i="10"/>
  <c r="W73" i="10"/>
  <c r="W74" i="10"/>
  <c r="W75" i="10"/>
  <c r="W76" i="10"/>
  <c r="W77" i="10"/>
  <c r="W78" i="10"/>
  <c r="W79" i="10"/>
  <c r="W80" i="10"/>
  <c r="W81" i="10"/>
  <c r="W82" i="10"/>
  <c r="W83" i="10"/>
  <c r="W84" i="10"/>
  <c r="W85" i="10"/>
  <c r="W86" i="10"/>
  <c r="W87" i="10"/>
  <c r="W88" i="10"/>
  <c r="W89" i="10"/>
  <c r="W90" i="10"/>
  <c r="W91" i="10"/>
  <c r="W92" i="10"/>
  <c r="W93" i="10"/>
  <c r="W94" i="10"/>
  <c r="W95" i="10"/>
  <c r="W96" i="10"/>
  <c r="W97" i="10"/>
  <c r="W98" i="10"/>
  <c r="W99" i="10"/>
  <c r="W100" i="10"/>
  <c r="W101" i="10"/>
  <c r="W102" i="10"/>
  <c r="X2" i="10"/>
  <c r="X3" i="10"/>
  <c r="X4" i="10"/>
  <c r="X5" i="10"/>
  <c r="X6" i="10"/>
  <c r="X7" i="10"/>
  <c r="X8" i="10"/>
  <c r="X9" i="10"/>
  <c r="X10" i="10"/>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c r="X40" i="10"/>
  <c r="X41" i="10"/>
  <c r="X42" i="10"/>
  <c r="X43" i="10"/>
  <c r="X44" i="10"/>
  <c r="X45" i="10"/>
  <c r="X46" i="10"/>
  <c r="X47" i="10"/>
  <c r="X48" i="10"/>
  <c r="X49" i="10"/>
  <c r="X50" i="10"/>
  <c r="X51" i="10"/>
  <c r="X52" i="10"/>
  <c r="X53" i="10"/>
  <c r="X54" i="10"/>
  <c r="X55" i="10"/>
  <c r="X56" i="10"/>
  <c r="X57" i="10"/>
  <c r="X58" i="10"/>
  <c r="X59" i="10"/>
  <c r="X60" i="10"/>
  <c r="X61" i="10"/>
  <c r="X62" i="10"/>
  <c r="X63" i="10"/>
  <c r="X64" i="10"/>
  <c r="X65" i="10"/>
  <c r="X66" i="10"/>
  <c r="X67" i="10"/>
  <c r="X68" i="10"/>
  <c r="X69" i="10"/>
  <c r="X70" i="10"/>
  <c r="X71" i="10"/>
  <c r="X72" i="10"/>
  <c r="X73" i="10"/>
  <c r="X74" i="10"/>
  <c r="X75" i="10"/>
  <c r="X76" i="10"/>
  <c r="X77" i="10"/>
  <c r="X78" i="10"/>
  <c r="X79" i="10"/>
  <c r="X80" i="10"/>
  <c r="X81" i="10"/>
  <c r="X82" i="10"/>
  <c r="X83" i="10"/>
  <c r="X84" i="10"/>
  <c r="X85" i="10"/>
  <c r="X86" i="10"/>
  <c r="X87" i="10"/>
  <c r="X88" i="10"/>
  <c r="X89" i="10"/>
  <c r="X90" i="10"/>
  <c r="X91" i="10"/>
  <c r="X92" i="10"/>
  <c r="X93" i="10"/>
  <c r="X94" i="10"/>
  <c r="X95" i="10"/>
  <c r="X96" i="10"/>
  <c r="X97" i="10"/>
  <c r="X98" i="10"/>
  <c r="X99" i="10"/>
  <c r="X100" i="10"/>
  <c r="X101" i="10"/>
  <c r="X102" i="10"/>
  <c r="Y2" i="10"/>
  <c r="Y3" i="10"/>
  <c r="Y4" i="10"/>
  <c r="Y5" i="10"/>
  <c r="Y6" i="10"/>
  <c r="Y7" i="10"/>
  <c r="Y8" i="10"/>
  <c r="Y9" i="10"/>
  <c r="Y10" i="10"/>
  <c r="Y11" i="10"/>
  <c r="Y12" i="10"/>
  <c r="Y13" i="10"/>
  <c r="Y14" i="10"/>
  <c r="Y15" i="10"/>
  <c r="Y16" i="10"/>
  <c r="Y17" i="10"/>
  <c r="Y18" i="10"/>
  <c r="Y19" i="10"/>
  <c r="Y20" i="10"/>
  <c r="Y21" i="10"/>
  <c r="Y22" i="10"/>
  <c r="Y23" i="10"/>
  <c r="Y24" i="10"/>
  <c r="Y25" i="10"/>
  <c r="Y26" i="10"/>
  <c r="Y27" i="10"/>
  <c r="Y28" i="10"/>
  <c r="Y29" i="10"/>
  <c r="Y30" i="10"/>
  <c r="Y31" i="10"/>
  <c r="Y32" i="10"/>
  <c r="Y33" i="10"/>
  <c r="Y34" i="10"/>
  <c r="Y35" i="10"/>
  <c r="Y36" i="10"/>
  <c r="Y37" i="10"/>
  <c r="Y38" i="10"/>
  <c r="Y39" i="10"/>
  <c r="Y40" i="10"/>
  <c r="Y41" i="10"/>
  <c r="Y42" i="10"/>
  <c r="Y43" i="10"/>
  <c r="Y44" i="10"/>
  <c r="Y45" i="10"/>
  <c r="Y46" i="10"/>
  <c r="Y47" i="10"/>
  <c r="Y48" i="10"/>
  <c r="Y49" i="10"/>
  <c r="Y50" i="10"/>
  <c r="Y51" i="10"/>
  <c r="Y52" i="10"/>
  <c r="Y53" i="10"/>
  <c r="Y54" i="10"/>
  <c r="Y55" i="10"/>
  <c r="Y56" i="10"/>
  <c r="Y57" i="10"/>
  <c r="Y58" i="10"/>
  <c r="Y59" i="10"/>
  <c r="Y60" i="10"/>
  <c r="Y61" i="10"/>
  <c r="Y62" i="10"/>
  <c r="Y63" i="10"/>
  <c r="Y64" i="10"/>
  <c r="Y65" i="10"/>
  <c r="Y66" i="10"/>
  <c r="Y67" i="10"/>
  <c r="Y68" i="10"/>
  <c r="Y69" i="10"/>
  <c r="Y70" i="10"/>
  <c r="Y71" i="10"/>
  <c r="Y72" i="10"/>
  <c r="Y73" i="10"/>
  <c r="Y74" i="10"/>
  <c r="Y75" i="10"/>
  <c r="Y76" i="10"/>
  <c r="Y77" i="10"/>
  <c r="Y78" i="10"/>
  <c r="Y79" i="10"/>
  <c r="Y80" i="10"/>
  <c r="Y81" i="10"/>
  <c r="Y82" i="10"/>
  <c r="Y83" i="10"/>
  <c r="Y84" i="10"/>
  <c r="Y85" i="10"/>
  <c r="Y86" i="10"/>
  <c r="Y87" i="10"/>
  <c r="Y88" i="10"/>
  <c r="Y89" i="10"/>
  <c r="Y90" i="10"/>
  <c r="Y91" i="10"/>
  <c r="Y92" i="10"/>
  <c r="Y93" i="10"/>
  <c r="Y94" i="10"/>
  <c r="Y95" i="10"/>
  <c r="Y96" i="10"/>
  <c r="Y97" i="10"/>
  <c r="Y98" i="10"/>
  <c r="Y99" i="10"/>
  <c r="Y100" i="10"/>
  <c r="Y101" i="10"/>
  <c r="Y102" i="10"/>
  <c r="Z2" i="10"/>
  <c r="Z3" i="10"/>
  <c r="Z4" i="10"/>
  <c r="Z5" i="10"/>
  <c r="Z6" i="10"/>
  <c r="Z7" i="10"/>
  <c r="Z8" i="10"/>
  <c r="Z9" i="10"/>
  <c r="Z10" i="10"/>
  <c r="Z11" i="10"/>
  <c r="Z12" i="10"/>
  <c r="Z13" i="10"/>
  <c r="Z14" i="10"/>
  <c r="Z15" i="10"/>
  <c r="Z16" i="10"/>
  <c r="Z17" i="10"/>
  <c r="Z18" i="10"/>
  <c r="Z19" i="10"/>
  <c r="Z20" i="10"/>
  <c r="Z21" i="10"/>
  <c r="Z22" i="10"/>
  <c r="Z23" i="10"/>
  <c r="Z24" i="10"/>
  <c r="Z25" i="10"/>
  <c r="Z26" i="10"/>
  <c r="Z27" i="10"/>
  <c r="Z28" i="10"/>
  <c r="Z29" i="10"/>
  <c r="Z30" i="10"/>
  <c r="Z31" i="10"/>
  <c r="Z32" i="10"/>
  <c r="Z33" i="10"/>
  <c r="Z34" i="10"/>
  <c r="Z35" i="10"/>
  <c r="Z36" i="10"/>
  <c r="Z37" i="10"/>
  <c r="Z38" i="10"/>
  <c r="Z39" i="10"/>
  <c r="Z40" i="10"/>
  <c r="Z41" i="10"/>
  <c r="Z42" i="10"/>
  <c r="Z43" i="10"/>
  <c r="Z44" i="10"/>
  <c r="Z45" i="10"/>
  <c r="Z46" i="10"/>
  <c r="Z47" i="10"/>
  <c r="Z48" i="10"/>
  <c r="Z49" i="10"/>
  <c r="Z50" i="10"/>
  <c r="Z51" i="10"/>
  <c r="Z52" i="10"/>
  <c r="Z53" i="10"/>
  <c r="Z54" i="10"/>
  <c r="Z55" i="10"/>
  <c r="Z56" i="10"/>
  <c r="Z57" i="10"/>
  <c r="Z58" i="10"/>
  <c r="Z59" i="10"/>
  <c r="Z60" i="10"/>
  <c r="Z61" i="10"/>
  <c r="Z62" i="10"/>
  <c r="Z63" i="10"/>
  <c r="Z64" i="10"/>
  <c r="Z65" i="10"/>
  <c r="Z66" i="10"/>
  <c r="Z67" i="10"/>
  <c r="Z68" i="10"/>
  <c r="Z69" i="10"/>
  <c r="Z70" i="10"/>
  <c r="Z71" i="10"/>
  <c r="Z72" i="10"/>
  <c r="Z73" i="10"/>
  <c r="Z74" i="10"/>
  <c r="Z75" i="10"/>
  <c r="Z76" i="10"/>
  <c r="Z77" i="10"/>
  <c r="Z78" i="10"/>
  <c r="Z79" i="10"/>
  <c r="Z80" i="10"/>
  <c r="Z81" i="10"/>
  <c r="Z82" i="10"/>
  <c r="Z83" i="10"/>
  <c r="Z84" i="10"/>
  <c r="Z85" i="10"/>
  <c r="Z86" i="10"/>
  <c r="Z87" i="10"/>
  <c r="Z88" i="10"/>
  <c r="Z89" i="10"/>
  <c r="Z90" i="10"/>
  <c r="Z91" i="10"/>
  <c r="Z92" i="10"/>
  <c r="Z93" i="10"/>
  <c r="Z94" i="10"/>
  <c r="Z95" i="10"/>
  <c r="Z96" i="10"/>
  <c r="Z97" i="10"/>
  <c r="Z98" i="10"/>
  <c r="Z99" i="10"/>
  <c r="Z100" i="10"/>
  <c r="Z101" i="10"/>
  <c r="Z102" i="10"/>
  <c r="AA2" i="10"/>
  <c r="AA3" i="10"/>
  <c r="AA4" i="10"/>
  <c r="AA5" i="10"/>
  <c r="AA6" i="10"/>
  <c r="AA7" i="10"/>
  <c r="AA8" i="10"/>
  <c r="AA9" i="10"/>
  <c r="AA10" i="10"/>
  <c r="AA11" i="10"/>
  <c r="AA12" i="10"/>
  <c r="AA13" i="10"/>
  <c r="AA14" i="10"/>
  <c r="AA15" i="10"/>
  <c r="AA16" i="10"/>
  <c r="AA17" i="10"/>
  <c r="AA18" i="10"/>
  <c r="AA19" i="10"/>
  <c r="AA20" i="10"/>
  <c r="AA21" i="10"/>
  <c r="AA22" i="10"/>
  <c r="AA23" i="10"/>
  <c r="AA24" i="10"/>
  <c r="AA25" i="10"/>
  <c r="AA26" i="10"/>
  <c r="AA27" i="10"/>
  <c r="AA28" i="10"/>
  <c r="AA29" i="10"/>
  <c r="AA30" i="10"/>
  <c r="AA31" i="10"/>
  <c r="AA32" i="10"/>
  <c r="AA33" i="10"/>
  <c r="AA34" i="10"/>
  <c r="AA35" i="10"/>
  <c r="AA36" i="10"/>
  <c r="AA37" i="10"/>
  <c r="AA38" i="10"/>
  <c r="AA39" i="10"/>
  <c r="AA40" i="10"/>
  <c r="AA41" i="10"/>
  <c r="AA42" i="10"/>
  <c r="AA43" i="10"/>
  <c r="AA44" i="10"/>
  <c r="AA45" i="10"/>
  <c r="AA46" i="10"/>
  <c r="AA47" i="10"/>
  <c r="AA48" i="10"/>
  <c r="AA49" i="10"/>
  <c r="AA50" i="10"/>
  <c r="AA51" i="10"/>
  <c r="AA52" i="10"/>
  <c r="AA53" i="10"/>
  <c r="AA54" i="10"/>
  <c r="AA55" i="10"/>
  <c r="AA56" i="10"/>
  <c r="AA57" i="10"/>
  <c r="AA58" i="10"/>
  <c r="AA59" i="10"/>
  <c r="AA60" i="10"/>
  <c r="AA61" i="10"/>
  <c r="AA62" i="10"/>
  <c r="AA63" i="10"/>
  <c r="AA64" i="10"/>
  <c r="AA65" i="10"/>
  <c r="AA66" i="10"/>
  <c r="AA67" i="10"/>
  <c r="AA68" i="10"/>
  <c r="AA69" i="10"/>
  <c r="AA70" i="10"/>
  <c r="AA71" i="10"/>
  <c r="AA72" i="10"/>
  <c r="AA73" i="10"/>
  <c r="AA74" i="10"/>
  <c r="AA75" i="10"/>
  <c r="AA76" i="10"/>
  <c r="AA77" i="10"/>
  <c r="AA78" i="10"/>
  <c r="AA79" i="10"/>
  <c r="AA80" i="10"/>
  <c r="AA81" i="10"/>
  <c r="AA82" i="10"/>
  <c r="AA83" i="10"/>
  <c r="AA84" i="10"/>
  <c r="AA85" i="10"/>
  <c r="AA86" i="10"/>
  <c r="AA87" i="10"/>
  <c r="AA88" i="10"/>
  <c r="AA89" i="10"/>
  <c r="AA90" i="10"/>
  <c r="AA91" i="10"/>
  <c r="AA92" i="10"/>
  <c r="AA93" i="10"/>
  <c r="AA94" i="10"/>
  <c r="AA95" i="10"/>
  <c r="AA96" i="10"/>
  <c r="AA97" i="10"/>
  <c r="AA98" i="10"/>
  <c r="AA99" i="10"/>
  <c r="AA100" i="10"/>
  <c r="AA101" i="10"/>
  <c r="AA102" i="10"/>
  <c r="AB2" i="10"/>
  <c r="AB3" i="10"/>
  <c r="AB4" i="10"/>
  <c r="AB5" i="10"/>
  <c r="AB6" i="10"/>
  <c r="AB7" i="10"/>
  <c r="AB8" i="10"/>
  <c r="AB9" i="10"/>
  <c r="AB10" i="10"/>
  <c r="AB11" i="10"/>
  <c r="AB12" i="10"/>
  <c r="AB13" i="10"/>
  <c r="AB14" i="10"/>
  <c r="AB15" i="10"/>
  <c r="AB16" i="10"/>
  <c r="AB17" i="10"/>
  <c r="AB18" i="10"/>
  <c r="AB19" i="10"/>
  <c r="AB20" i="10"/>
  <c r="AB21" i="10"/>
  <c r="AB22" i="10"/>
  <c r="AB23" i="10"/>
  <c r="AB24" i="10"/>
  <c r="AB25" i="10"/>
  <c r="AB26" i="10"/>
  <c r="AB27" i="10"/>
  <c r="AB28" i="10"/>
  <c r="AB29" i="10"/>
  <c r="AB30" i="10"/>
  <c r="AB31" i="10"/>
  <c r="AB32" i="10"/>
  <c r="AB33" i="10"/>
  <c r="AB34" i="10"/>
  <c r="AB35" i="10"/>
  <c r="AB36" i="10"/>
  <c r="AB37" i="10"/>
  <c r="AB38" i="10"/>
  <c r="AB39" i="10"/>
  <c r="AB40" i="10"/>
  <c r="AB41" i="10"/>
  <c r="AB42" i="10"/>
  <c r="AB43" i="10"/>
  <c r="AB44" i="10"/>
  <c r="AB45" i="10"/>
  <c r="AB46" i="10"/>
  <c r="AB47" i="10"/>
  <c r="AB48" i="10"/>
  <c r="AB49" i="10"/>
  <c r="AB50" i="10"/>
  <c r="AB51" i="10"/>
  <c r="AB52" i="10"/>
  <c r="AB53" i="10"/>
  <c r="AB54" i="10"/>
  <c r="AB55" i="10"/>
  <c r="AB56" i="10"/>
  <c r="AB57" i="10"/>
  <c r="AB58" i="10"/>
  <c r="AB59" i="10"/>
  <c r="AB60" i="10"/>
  <c r="AB61" i="10"/>
  <c r="AB62" i="10"/>
  <c r="AB63" i="10"/>
  <c r="AB64" i="10"/>
  <c r="AB65" i="10"/>
  <c r="AB66" i="10"/>
  <c r="AB67" i="10"/>
  <c r="AB68" i="10"/>
  <c r="AB69" i="10"/>
  <c r="AB70" i="10"/>
  <c r="AB71" i="10"/>
  <c r="AB72" i="10"/>
  <c r="AB73" i="10"/>
  <c r="AB74" i="10"/>
  <c r="AB75" i="10"/>
  <c r="AB76" i="10"/>
  <c r="AB77" i="10"/>
  <c r="AB78" i="10"/>
  <c r="AB79" i="10"/>
  <c r="AB80" i="10"/>
  <c r="AB81" i="10"/>
  <c r="AB82" i="10"/>
  <c r="AB83" i="10"/>
  <c r="AB84" i="10"/>
  <c r="AB85" i="10"/>
  <c r="AB86" i="10"/>
  <c r="AB87" i="10"/>
  <c r="AB88" i="10"/>
  <c r="AB89" i="10"/>
  <c r="AB90" i="10"/>
  <c r="AB91" i="10"/>
  <c r="AB92" i="10"/>
  <c r="AB93" i="10"/>
  <c r="AB94" i="10"/>
  <c r="AB95" i="10"/>
  <c r="AB96" i="10"/>
  <c r="AB97" i="10"/>
  <c r="AB98" i="10"/>
  <c r="AB99" i="10"/>
  <c r="AB100" i="10"/>
  <c r="AB101" i="10"/>
  <c r="AB102" i="10"/>
  <c r="AC2" i="10"/>
  <c r="AC3" i="10"/>
  <c r="AC4" i="10"/>
  <c r="AC5" i="10"/>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C41" i="10"/>
  <c r="AC42" i="10"/>
  <c r="AC43" i="10"/>
  <c r="AC44" i="10"/>
  <c r="AC45" i="10"/>
  <c r="AC46" i="10"/>
  <c r="AC47" i="10"/>
  <c r="AC48" i="10"/>
  <c r="AC49" i="10"/>
  <c r="AC50" i="10"/>
  <c r="AC51" i="10"/>
  <c r="AC52" i="10"/>
  <c r="AC53" i="10"/>
  <c r="AC54" i="10"/>
  <c r="AC55" i="10"/>
  <c r="AC56" i="10"/>
  <c r="AC57" i="10"/>
  <c r="AC58" i="10"/>
  <c r="AC59" i="10"/>
  <c r="AC60" i="10"/>
  <c r="AC61" i="10"/>
  <c r="AC62" i="10"/>
  <c r="AC63" i="10"/>
  <c r="AC64" i="10"/>
  <c r="AC65" i="10"/>
  <c r="AC66" i="10"/>
  <c r="AC67" i="10"/>
  <c r="AC68" i="10"/>
  <c r="AC69" i="10"/>
  <c r="AC70" i="10"/>
  <c r="AC71" i="10"/>
  <c r="AC72" i="10"/>
  <c r="AC73" i="10"/>
  <c r="AC74" i="10"/>
  <c r="AC75" i="10"/>
  <c r="AC76" i="10"/>
  <c r="AC77" i="10"/>
  <c r="AC78" i="10"/>
  <c r="AC79" i="10"/>
  <c r="AC80" i="10"/>
  <c r="AC81" i="10"/>
  <c r="AC82" i="10"/>
  <c r="AC83" i="10"/>
  <c r="AC84" i="10"/>
  <c r="AC85" i="10"/>
  <c r="AC86" i="10"/>
  <c r="AC87" i="10"/>
  <c r="AC88" i="10"/>
  <c r="AC89" i="10"/>
  <c r="AC90" i="10"/>
  <c r="AC91" i="10"/>
  <c r="AC92" i="10"/>
  <c r="AC93" i="10"/>
  <c r="AC94" i="10"/>
  <c r="AC95" i="10"/>
  <c r="AC96" i="10"/>
  <c r="AC97" i="10"/>
  <c r="AC98" i="10"/>
  <c r="AC99" i="10"/>
  <c r="AC100" i="10"/>
  <c r="AC101" i="10"/>
  <c r="AC102"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3" i="10"/>
  <c r="B2" i="10"/>
  <c r="B102" i="10"/>
</calcChain>
</file>

<file path=xl/comments1.xml><?xml version="1.0" encoding="utf-8"?>
<comments xmlns="http://schemas.openxmlformats.org/spreadsheetml/2006/main">
  <authors>
    <author>Zheng, Yunhan</author>
  </authors>
  <commentList>
    <comment ref="A1" authorId="0" shapeId="0">
      <text>
        <r>
          <rPr>
            <b/>
            <sz val="9"/>
            <color indexed="81"/>
            <rFont val="Tahoma"/>
            <family val="2"/>
          </rPr>
          <t>Project Diamonds:</t>
        </r>
        <r>
          <rPr>
            <sz val="9"/>
            <color indexed="81"/>
            <rFont val="Tahoma"/>
            <family val="2"/>
          </rPr>
          <t xml:space="preserve">
Note: this is a sample list received from Registrar</t>
        </r>
      </text>
    </comment>
  </commentList>
</comments>
</file>

<file path=xl/sharedStrings.xml><?xml version="1.0" encoding="utf-8"?>
<sst xmlns="http://schemas.openxmlformats.org/spreadsheetml/2006/main" count="981" uniqueCount="247">
  <si>
    <t>Professor Last Name</t>
  </si>
  <si>
    <t>Professor First Name</t>
  </si>
  <si>
    <t>Course Number</t>
  </si>
  <si>
    <t>CRN Number</t>
  </si>
  <si>
    <t>Course Name</t>
  </si>
  <si>
    <t>Days</t>
  </si>
  <si>
    <t>Times</t>
  </si>
  <si>
    <t>Classroom</t>
  </si>
  <si>
    <t>Professor</t>
  </si>
  <si>
    <t>CIS</t>
  </si>
  <si>
    <t>CS 150 001</t>
  </si>
  <si>
    <t>CS 180 001</t>
  </si>
  <si>
    <t>CS 150 002</t>
  </si>
  <si>
    <t>CS 150 003</t>
  </si>
  <si>
    <t>CS 180 002</t>
  </si>
  <si>
    <t>CS 213 001</t>
  </si>
  <si>
    <t>CS 213 002</t>
  </si>
  <si>
    <t>CS 240 001</t>
  </si>
  <si>
    <t>CS 240 002</t>
  </si>
  <si>
    <t>CS 350 001</t>
  </si>
  <si>
    <t>CS 350 002</t>
  </si>
  <si>
    <t>CS 350 003</t>
  </si>
  <si>
    <t>CS 460 001</t>
  </si>
  <si>
    <t>CS 150 004</t>
  </si>
  <si>
    <t>CS 150 005</t>
  </si>
  <si>
    <t>CS 150 006</t>
  </si>
  <si>
    <t>CS 150 007</t>
  </si>
  <si>
    <t>CS 150 E01</t>
  </si>
  <si>
    <t>CS 180 R01</t>
  </si>
  <si>
    <t>CS 213 003</t>
  </si>
  <si>
    <t>CS 213 004</t>
  </si>
  <si>
    <t>CS 280 E01</t>
  </si>
  <si>
    <t>CS 350 004</t>
  </si>
  <si>
    <t>CS 360 001</t>
  </si>
  <si>
    <t>CS 360 E01</t>
  </si>
  <si>
    <t>CS 402 001</t>
  </si>
  <si>
    <t>CS 480 001</t>
  </si>
  <si>
    <t>IT 101 001</t>
  </si>
  <si>
    <t>IT 101 002</t>
  </si>
  <si>
    <t>IT 101 003</t>
  </si>
  <si>
    <t>IT 101 004</t>
  </si>
  <si>
    <t>IT 101 005</t>
  </si>
  <si>
    <t>IT 101 006</t>
  </si>
  <si>
    <t>IT 101 007</t>
  </si>
  <si>
    <t>IT 101 008</t>
  </si>
  <si>
    <t>IT 101 009</t>
  </si>
  <si>
    <t>IT 101 010</t>
  </si>
  <si>
    <t>IT 101 H01</t>
  </si>
  <si>
    <t>IT 101 SL1</t>
  </si>
  <si>
    <t>IT 101 X01</t>
  </si>
  <si>
    <t>CS 603 100</t>
  </si>
  <si>
    <t>CS 605 100</t>
  </si>
  <si>
    <t>CS 605 200</t>
  </si>
  <si>
    <t>CS 605 HB1</t>
  </si>
  <si>
    <t>CS 607 1GU</t>
  </si>
  <si>
    <t>CS 610 100</t>
  </si>
  <si>
    <t>CS 620 100</t>
  </si>
  <si>
    <t>CS 630 100</t>
  </si>
  <si>
    <t>CS 650 100</t>
  </si>
  <si>
    <t>CS 680 100</t>
  </si>
  <si>
    <t>Object-Oriented Applic Develop</t>
  </si>
  <si>
    <t>Pre-Req</t>
  </si>
  <si>
    <t>None</t>
  </si>
  <si>
    <t>Data Mgt &amp; Systems Modeling</t>
  </si>
  <si>
    <t>Techn Infrastr of Info Systems</t>
  </si>
  <si>
    <t>Enterprise Architecture</t>
  </si>
  <si>
    <t>Global IT Project Management</t>
  </si>
  <si>
    <t>Obj Orient Syst Analys &amp; Desig</t>
  </si>
  <si>
    <t>Data Management Architectures</t>
  </si>
  <si>
    <t>Mobile Application Development</t>
  </si>
  <si>
    <t>CS 603 &amp; CS 605</t>
  </si>
  <si>
    <t>CS 603 &amp; CS 610</t>
  </si>
  <si>
    <t>CS 603 &amp; Pre or Co-Req CS 605</t>
  </si>
  <si>
    <t>Intro Data &amp; Info Mgmt</t>
  </si>
  <si>
    <t>IT 101</t>
  </si>
  <si>
    <t>Programming Fundamentals</t>
  </si>
  <si>
    <t>The World Wide Web</t>
  </si>
  <si>
    <t>Bus Proc &amp; Comm Infrastructure</t>
  </si>
  <si>
    <t>Object Orient App Development</t>
  </si>
  <si>
    <t>CS 180</t>
  </si>
  <si>
    <t>Database Management Systems</t>
  </si>
  <si>
    <t>Bus Sys Anal &amp; Modeling</t>
  </si>
  <si>
    <t>Advanced Compt Topics Seminar</t>
  </si>
  <si>
    <t>CS 213 or CS 180</t>
  </si>
  <si>
    <t>Adv Net-Centric Comp</t>
  </si>
  <si>
    <t>CS 180 &amp; CS 240</t>
  </si>
  <si>
    <t>CS 360</t>
  </si>
  <si>
    <t>CS 440 E01</t>
  </si>
  <si>
    <t>IS Proj Mgmt &amp; Practice</t>
  </si>
  <si>
    <t>Advanced App Development Tech</t>
  </si>
  <si>
    <t>CS 280</t>
  </si>
  <si>
    <t>Info Tech and Computer System</t>
  </si>
  <si>
    <t>Dept</t>
  </si>
  <si>
    <t>Requirement?</t>
  </si>
  <si>
    <t>Major Requirement</t>
  </si>
  <si>
    <t>Elective</t>
  </si>
  <si>
    <t>CS 220 or CS 150 or AC 340 &amp; AIS of ISAC major</t>
  </si>
  <si>
    <t>School Requirement</t>
  </si>
  <si>
    <t>Elective (Cannot be used as an elective for major)</t>
  </si>
  <si>
    <t>Core</t>
  </si>
  <si>
    <t>Additional Courses Not Offered in Spring</t>
  </si>
  <si>
    <t xml:space="preserve">CS 612 </t>
  </si>
  <si>
    <t>WEB-BASED APPLICATION DEVELOPMENT</t>
  </si>
  <si>
    <t>CS 740</t>
  </si>
  <si>
    <t>NETWORK AND SYSTEMS SECURITY</t>
  </si>
  <si>
    <t>BUSINESS INTELLIGENCE METHODS AND TECHNOLOGIES</t>
  </si>
  <si>
    <t>CS 753</t>
  </si>
  <si>
    <t>CS 801</t>
  </si>
  <si>
    <t>INFORMATION TECHNOLOGY MANAGEMENT AND POLICY</t>
  </si>
  <si>
    <t>E-Business Infrastructure and Policy</t>
  </si>
  <si>
    <t>CS 350</t>
  </si>
  <si>
    <t>CS 476</t>
  </si>
  <si>
    <t>Akram Ahmed</t>
  </si>
  <si>
    <t>Tamara Babaian</t>
  </si>
  <si>
    <t>Jay Cooprider</t>
  </si>
  <si>
    <t>Irv Englander</t>
  </si>
  <si>
    <t>Mark Frydenberg</t>
  </si>
  <si>
    <t>Monica Garfield</t>
  </si>
  <si>
    <t>Wendy Lucas</t>
  </si>
  <si>
    <t>Elizabeth McCarron</t>
  </si>
  <si>
    <t>Xinru W. Page</t>
  </si>
  <si>
    <t>James Pepe</t>
  </si>
  <si>
    <t>J. Douglas Robertson</t>
  </si>
  <si>
    <t>William Thomas Schiano</t>
  </si>
  <si>
    <t>Heikki Topi</t>
  </si>
  <si>
    <t>William VanderClock</t>
  </si>
  <si>
    <t>Leslie Waguespack</t>
  </si>
  <si>
    <t>Wilson Wong</t>
  </si>
  <si>
    <t>Jennifer Xu</t>
  </si>
  <si>
    <t>David Yates</t>
  </si>
  <si>
    <t>Donald Joseph Aucoin</t>
  </si>
  <si>
    <t>Michael Banks</t>
  </si>
  <si>
    <t>Andrea Jones</t>
  </si>
  <si>
    <t>Matthew Macarty</t>
  </si>
  <si>
    <t>Joseph Nezuh</t>
  </si>
  <si>
    <t>Anne Pugliese</t>
  </si>
  <si>
    <t>Patricia Rice</t>
  </si>
  <si>
    <t>David Rude</t>
  </si>
  <si>
    <t>Gaurav Shah</t>
  </si>
  <si>
    <t>Daniel Sheehan</t>
  </si>
  <si>
    <t>Stephen Tracey</t>
  </si>
  <si>
    <t>Graduate</t>
  </si>
  <si>
    <t>Full time</t>
  </si>
  <si>
    <t>Part time</t>
  </si>
  <si>
    <t>Graduate, undergraduate</t>
  </si>
  <si>
    <t>Undergraduate</t>
  </si>
  <si>
    <t>CS 150</t>
  </si>
  <si>
    <t>CS 213</t>
  </si>
  <si>
    <t>CS 240</t>
  </si>
  <si>
    <t>CS 402</t>
  </si>
  <si>
    <t>CS 440</t>
  </si>
  <si>
    <t>CS 460</t>
  </si>
  <si>
    <t>CS 480</t>
  </si>
  <si>
    <t>CS 603</t>
  </si>
  <si>
    <t>CS 605</t>
  </si>
  <si>
    <t>CS 607</t>
  </si>
  <si>
    <t>CS 610</t>
  </si>
  <si>
    <t>CS 620</t>
  </si>
  <si>
    <t>CS 630</t>
  </si>
  <si>
    <t>CS 650</t>
  </si>
  <si>
    <t>CS 680</t>
  </si>
  <si>
    <t>CS 605 or IPM 652</t>
  </si>
  <si>
    <t>CS 607 or CS 610</t>
  </si>
  <si>
    <t>From: Registrar</t>
  </si>
  <si>
    <t>To: CIS Dept</t>
  </si>
  <si>
    <t>Semester: Spring 2017</t>
  </si>
  <si>
    <t>8 sections</t>
  </si>
  <si>
    <t>3 sections</t>
  </si>
  <si>
    <t>4 sections</t>
  </si>
  <si>
    <t>2 sections</t>
  </si>
  <si>
    <t>1 section</t>
  </si>
  <si>
    <t>0 sections</t>
  </si>
  <si>
    <t>13 sections</t>
  </si>
  <si>
    <t>Professor Teaching Preferences</t>
  </si>
  <si>
    <t xml:space="preserve">CIS Department </t>
  </si>
  <si>
    <t>High</t>
  </si>
  <si>
    <t>CS150, CS350</t>
  </si>
  <si>
    <t>Monday, Tuesday, Wednesday, Thursday</t>
  </si>
  <si>
    <t>9:30AM, 11:00AM, 12:30PM, 2:00PM, 3:30 PM</t>
  </si>
  <si>
    <t>9:30AM, 11:00AM, 12:30PM, 2:00PM, 3:30PM</t>
  </si>
  <si>
    <t>Level</t>
  </si>
  <si>
    <t>Courses</t>
  </si>
  <si>
    <t>Time Preference</t>
  </si>
  <si>
    <t>Status</t>
  </si>
  <si>
    <t>Seniority</t>
  </si>
  <si>
    <t>FT</t>
  </si>
  <si>
    <t>PT</t>
  </si>
  <si>
    <t>Sections</t>
  </si>
  <si>
    <t>UG</t>
  </si>
  <si>
    <t>G</t>
  </si>
  <si>
    <t>Remaining</t>
  </si>
  <si>
    <t>Course</t>
  </si>
  <si>
    <t># of Sec</t>
  </si>
  <si>
    <t>Blocks</t>
  </si>
  <si>
    <t>Team Diamonds Course Scheduler Program</t>
  </si>
  <si>
    <t>Instructions:</t>
  </si>
  <si>
    <t># of Sections</t>
  </si>
  <si>
    <r>
      <t>Step 2:</t>
    </r>
    <r>
      <rPr>
        <sz val="12"/>
        <color theme="1"/>
        <rFont val="Calibri"/>
        <family val="2"/>
        <scheme val="minor"/>
      </rPr>
      <t xml:space="preserve"> Select Populate Sections List button</t>
    </r>
  </si>
  <si>
    <r>
      <t xml:space="preserve">Step 4: </t>
    </r>
    <r>
      <rPr>
        <sz val="12"/>
        <color rgb="FF000000"/>
        <rFont val="Calibri"/>
        <family val="2"/>
        <scheme val="minor"/>
      </rPr>
      <t>Select Schedule Sections button</t>
    </r>
  </si>
  <si>
    <r>
      <t xml:space="preserve">Step 5: </t>
    </r>
    <r>
      <rPr>
        <sz val="12"/>
        <color rgb="FF000000"/>
        <rFont val="Calibri"/>
        <family val="2"/>
        <scheme val="minor"/>
      </rPr>
      <t>View schedule in the Blocks tab</t>
    </r>
  </si>
  <si>
    <r>
      <t xml:space="preserve">Step 1: </t>
    </r>
    <r>
      <rPr>
        <sz val="12"/>
        <color theme="1"/>
        <rFont val="Calibri"/>
        <family val="2"/>
        <scheme val="minor"/>
      </rPr>
      <t>Obtain the list from registrar and copy the 
course and number of sections to the "Num Sections" tab of this WorkBook in the following format:</t>
    </r>
  </si>
  <si>
    <r>
      <rPr>
        <i/>
        <sz val="12"/>
        <color theme="1"/>
        <rFont val="Calibri"/>
        <family val="2"/>
        <scheme val="minor"/>
      </rPr>
      <t>Note:</t>
    </r>
    <r>
      <rPr>
        <sz val="12"/>
        <color theme="1"/>
        <rFont val="Calibri"/>
        <family val="2"/>
        <scheme val="minor"/>
      </rPr>
      <t>This will populate a list of unique section IDs in the "Sections List" tab.  It will also automatically bring you to the "Sections List" tab.</t>
    </r>
  </si>
  <si>
    <r>
      <rPr>
        <i/>
        <sz val="12"/>
        <color theme="1"/>
        <rFont val="Calibri"/>
        <family val="2"/>
        <scheme val="minor"/>
      </rPr>
      <t>Note:</t>
    </r>
    <r>
      <rPr>
        <sz val="12"/>
        <color theme="1"/>
        <rFont val="Calibri"/>
        <family val="2"/>
        <scheme val="minor"/>
      </rPr>
      <t xml:space="preserve"> The first course should be entered in cell A2 with the number of sections to that course listed in cell B2</t>
    </r>
  </si>
  <si>
    <r>
      <t xml:space="preserve">Step 3: </t>
    </r>
    <r>
      <rPr>
        <sz val="12"/>
        <color rgb="FF000000"/>
        <rFont val="Calibri"/>
        <family val="2"/>
        <scheme val="minor"/>
      </rPr>
      <t>In Sections List tab verify the unique section IDs</t>
    </r>
  </si>
  <si>
    <r>
      <rPr>
        <i/>
        <sz val="12"/>
        <color rgb="FF000000"/>
        <rFont val="Calibri"/>
        <family val="2"/>
        <scheme val="minor"/>
      </rPr>
      <t>Note:</t>
    </r>
    <r>
      <rPr>
        <sz val="12"/>
        <color rgb="FF000000"/>
        <rFont val="Calibri"/>
        <family val="2"/>
        <scheme val="minor"/>
      </rPr>
      <t xml:space="preserve"> This will assign each unique section a block number from the block schedule.  The block number will be listed in column B2 to the right of the unique section ID</t>
    </r>
  </si>
  <si>
    <r>
      <rPr>
        <i/>
        <sz val="12"/>
        <color theme="1"/>
        <rFont val="Calibri"/>
        <family val="2"/>
        <scheme val="minor"/>
      </rPr>
      <t>Note:</t>
    </r>
    <r>
      <rPr>
        <sz val="12"/>
        <color theme="1"/>
        <rFont val="Calibri"/>
        <family val="2"/>
        <scheme val="minor"/>
      </rPr>
      <t xml:space="preserve"> This tab provides a check for the even distribution of blocks using basic excel cell references, IF functions, and SUM functions.  Scroll to row 102 to see the distribution of courses in each block. (Also the check in this tab is only set up to handle 100 sections)</t>
    </r>
  </si>
  <si>
    <t>xxx</t>
  </si>
  <si>
    <t>&lt;&lt; Type 1st three letters of lastname here to highlight schedule</t>
  </si>
  <si>
    <t>MONDAY</t>
  </si>
  <si>
    <t>TUESDAY</t>
  </si>
  <si>
    <t>WEDNESDAY</t>
  </si>
  <si>
    <t>THURSDAY</t>
  </si>
  <si>
    <t>FRIDAY</t>
  </si>
  <si>
    <t>SATURDAY</t>
  </si>
  <si>
    <t>A</t>
  </si>
  <si>
    <t>8:00</t>
  </si>
  <si>
    <t>to</t>
  </si>
  <si>
    <t>9:20</t>
  </si>
  <si>
    <t>B</t>
  </si>
  <si>
    <t>9:30</t>
  </si>
  <si>
    <t>10:50</t>
  </si>
  <si>
    <t>C</t>
  </si>
  <si>
    <t>11:00</t>
  </si>
  <si>
    <t>12:20</t>
  </si>
  <si>
    <t>D</t>
  </si>
  <si>
    <t>12:30</t>
  </si>
  <si>
    <t>1:50</t>
  </si>
  <si>
    <t>E</t>
  </si>
  <si>
    <t>2:00</t>
  </si>
  <si>
    <t>3:20</t>
  </si>
  <si>
    <t>F</t>
  </si>
  <si>
    <t>3:30</t>
  </si>
  <si>
    <t>4:50</t>
  </si>
  <si>
    <t>5:00</t>
  </si>
  <si>
    <t>6:20</t>
  </si>
  <si>
    <t>GRADUATE AND EVENING CLASSES</t>
  </si>
  <si>
    <t>6:30</t>
  </si>
  <si>
    <t>9:10</t>
  </si>
  <si>
    <t>EVENING</t>
  </si>
  <si>
    <t>7:20</t>
  </si>
  <si>
    <t>GRAD</t>
  </si>
  <si>
    <t>7:30</t>
  </si>
  <si>
    <t>9:50</t>
  </si>
  <si>
    <t>Number of faculty</t>
  </si>
  <si>
    <t>F/P</t>
  </si>
  <si>
    <t>Terminal degree</t>
  </si>
  <si>
    <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</si>
</sst>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font>
      <sz val="12"/>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b/>
      <sz val="12"/>
      <name val="Calibri"/>
      <family val="2"/>
      <scheme val="minor"/>
    </font>
    <font>
      <sz val="12"/>
      <name val="Calibri"/>
      <family val="2"/>
      <scheme val="minor"/>
    </font>
    <font>
      <b/>
      <sz val="14"/>
      <name val="Calibri"/>
      <family val="2"/>
      <scheme val="minor"/>
    </font>
    <font>
      <b/>
      <sz val="14"/>
      <color theme="1"/>
      <name val="Calibri"/>
      <family val="2"/>
      <scheme val="minor"/>
    </font>
    <font>
      <sz val="12"/>
      <color rgb="FF000000"/>
      <name val="Lucida Grande"/>
    </font>
    <font>
      <sz val="12"/>
      <color rgb="FF000000"/>
      <name val="Calibri"/>
      <family val="2"/>
    </font>
    <font>
      <sz val="9"/>
      <color indexed="81"/>
      <name val="Tahoma"/>
      <family val="2"/>
    </font>
    <font>
      <b/>
      <sz val="9"/>
      <color indexed="81"/>
      <name val="Tahoma"/>
      <family val="2"/>
    </font>
    <font>
      <b/>
      <sz val="12"/>
      <color rgb="FF000000"/>
      <name val="Calibri"/>
      <family val="2"/>
      <scheme val="minor"/>
    </font>
    <font>
      <i/>
      <sz val="12"/>
      <color theme="1"/>
      <name val="Calibri"/>
      <family val="2"/>
      <scheme val="minor"/>
    </font>
    <font>
      <b/>
      <i/>
      <sz val="12"/>
      <color rgb="FF000000"/>
      <name val="Calibri"/>
      <family val="2"/>
      <scheme val="minor"/>
    </font>
    <font>
      <i/>
      <sz val="12"/>
      <color rgb="FF000000"/>
      <name val="Calibri"/>
      <family val="2"/>
      <scheme val="minor"/>
    </font>
    <font>
      <b/>
      <sz val="12"/>
      <color theme="0"/>
      <name val="Arial"/>
      <family val="2"/>
    </font>
    <font>
      <b/>
      <sz val="11"/>
      <color theme="0"/>
      <name val="Arial"/>
      <family val="2"/>
    </font>
    <font>
      <b/>
      <sz val="11"/>
      <color theme="3" tint="0.59999389629810485"/>
      <name val="Arial"/>
      <family val="2"/>
    </font>
    <font>
      <sz val="8"/>
      <name val="Arial"/>
      <family val="2"/>
    </font>
    <font>
      <sz val="8"/>
      <color theme="0"/>
      <name val="Arial"/>
      <family val="2"/>
    </font>
    <font>
      <sz val="8"/>
      <color theme="1"/>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3"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rgb="FF9AEACC"/>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rgb="FFFFC000"/>
        <bgColor indexed="64"/>
      </patternFill>
    </fill>
    <fill>
      <patternFill patternType="solid">
        <fgColor theme="4" tint="0.39997558519241921"/>
        <bgColor indexed="64"/>
      </patternFill>
    </fill>
    <fill>
      <patternFill patternType="solid">
        <fgColor rgb="FF92D050"/>
        <bgColor indexed="64"/>
      </patternFill>
    </fill>
    <fill>
      <patternFill patternType="solid">
        <fgColor rgb="FF3BCCFF"/>
        <bgColor indexed="64"/>
      </patternFill>
    </fill>
    <fill>
      <patternFill patternType="solid">
        <fgColor rgb="FFFFCC00"/>
        <bgColor indexed="64"/>
      </patternFill>
    </fill>
    <fill>
      <patternFill patternType="solid">
        <fgColor rgb="FFFFCDFF"/>
        <bgColor indexed="64"/>
      </patternFill>
    </fill>
    <fill>
      <patternFill patternType="solid">
        <fgColor rgb="FFFFFF00"/>
        <bgColor indexed="64"/>
      </patternFill>
    </fill>
    <fill>
      <patternFill patternType="solid">
        <fgColor rgb="FFFF99FF"/>
        <bgColor indexed="64"/>
      </patternFill>
    </fill>
  </fills>
  <borders count="30">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1"/>
      </left>
      <right style="thin">
        <color indexed="64"/>
      </right>
      <top style="thin">
        <color indexed="64"/>
      </top>
      <bottom style="thin">
        <color indexed="64"/>
      </bottom>
      <diagonal/>
    </border>
    <border>
      <left style="thin">
        <color theme="1"/>
      </left>
      <right style="thin">
        <color indexed="64"/>
      </right>
      <top style="thin">
        <color indexed="64"/>
      </top>
      <bottom/>
      <diagonal/>
    </border>
    <border>
      <left style="thin">
        <color theme="1"/>
      </left>
      <right style="thin">
        <color indexed="64"/>
      </right>
      <top/>
      <bottom style="dashed">
        <color indexed="64"/>
      </bottom>
      <diagonal/>
    </border>
    <border>
      <left style="thin">
        <color theme="1"/>
      </left>
      <right style="thin">
        <color indexed="64"/>
      </right>
      <top style="dashed">
        <color indexed="64"/>
      </top>
      <bottom style="dashed">
        <color indexed="64"/>
      </bottom>
      <diagonal/>
    </border>
    <border>
      <left style="thin">
        <color theme="1"/>
      </left>
      <right style="thin">
        <color indexed="64"/>
      </right>
      <top/>
      <bottom/>
      <diagonal/>
    </border>
    <border>
      <left style="thin">
        <color theme="1"/>
      </left>
      <right style="thin">
        <color indexed="64"/>
      </right>
      <top style="dashed">
        <color indexed="64"/>
      </top>
      <bottom/>
      <diagonal/>
    </border>
    <border>
      <left style="thin">
        <color theme="1"/>
      </left>
      <right/>
      <top/>
      <bottom/>
      <diagonal/>
    </border>
    <border>
      <left style="thin">
        <color theme="1"/>
      </left>
      <right style="thin">
        <color indexed="64"/>
      </right>
      <top/>
      <bottom style="thin">
        <color indexed="64"/>
      </bottom>
      <diagonal/>
    </border>
    <border>
      <left style="thin">
        <color theme="1"/>
      </left>
      <right style="thin">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thin">
        <color indexed="64"/>
      </bottom>
      <diagonal/>
    </border>
    <border>
      <left style="thin">
        <color indexed="64"/>
      </left>
      <right/>
      <top style="dashed">
        <color indexed="64"/>
      </top>
      <bottom/>
      <diagonal/>
    </border>
  </borders>
  <cellStyleXfs count="34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 fillId="0" borderId="0"/>
  </cellStyleXfs>
  <cellXfs count="173">
    <xf numFmtId="0" fontId="0" fillId="0" borderId="0" xfId="0"/>
    <xf numFmtId="0" fontId="2" fillId="0" borderId="0" xfId="0" applyFont="1"/>
    <xf numFmtId="0" fontId="5" fillId="0" borderId="0" xfId="0" applyFont="1"/>
    <xf numFmtId="0" fontId="6" fillId="0" borderId="0" xfId="0" applyFont="1" applyFill="1"/>
    <xf numFmtId="0" fontId="7" fillId="0" borderId="0" xfId="0" applyFont="1" applyFill="1"/>
    <xf numFmtId="0" fontId="6" fillId="2" borderId="0" xfId="0" applyFont="1" applyFill="1"/>
    <xf numFmtId="0" fontId="7" fillId="2" borderId="0" xfId="0" applyFont="1" applyFill="1"/>
    <xf numFmtId="0" fontId="0" fillId="2" borderId="0" xfId="0" applyFill="1"/>
    <xf numFmtId="0" fontId="8" fillId="2" borderId="0" xfId="0" applyFont="1" applyFill="1"/>
    <xf numFmtId="0" fontId="7" fillId="3" borderId="2" xfId="0" applyFont="1" applyFill="1" applyBorder="1"/>
    <xf numFmtId="0" fontId="7" fillId="3" borderId="4" xfId="0" applyFont="1" applyFill="1" applyBorder="1"/>
    <xf numFmtId="0" fontId="7" fillId="3" borderId="6" xfId="0" applyFont="1" applyFill="1" applyBorder="1"/>
    <xf numFmtId="0" fontId="6" fillId="3" borderId="1" xfId="0" applyFont="1" applyFill="1" applyBorder="1"/>
    <xf numFmtId="0" fontId="6" fillId="3" borderId="3" xfId="0" applyFont="1" applyFill="1" applyBorder="1"/>
    <xf numFmtId="0" fontId="6" fillId="3" borderId="5" xfId="0" applyFont="1" applyFill="1" applyBorder="1"/>
    <xf numFmtId="0" fontId="9" fillId="0" borderId="0" xfId="0" applyFont="1"/>
    <xf numFmtId="0" fontId="0" fillId="0" borderId="0" xfId="0" applyFont="1"/>
    <xf numFmtId="0" fontId="0" fillId="0" borderId="0" xfId="0" applyFont="1" applyAlignment="1"/>
    <xf numFmtId="49" fontId="7" fillId="2" borderId="0" xfId="0" applyNumberFormat="1" applyFont="1" applyFill="1"/>
    <xf numFmtId="49" fontId="6" fillId="3" borderId="1" xfId="0" applyNumberFormat="1" applyFont="1" applyFill="1" applyBorder="1"/>
    <xf numFmtId="49" fontId="6" fillId="3" borderId="3" xfId="0" applyNumberFormat="1" applyFont="1" applyFill="1" applyBorder="1"/>
    <xf numFmtId="49" fontId="6" fillId="3" borderId="5" xfId="0" applyNumberFormat="1" applyFont="1" applyFill="1" applyBorder="1"/>
    <xf numFmtId="49" fontId="0" fillId="0" borderId="0" xfId="0" applyNumberFormat="1"/>
    <xf numFmtId="1" fontId="7" fillId="3" borderId="2" xfId="0" applyNumberFormat="1" applyFont="1" applyFill="1" applyBorder="1"/>
    <xf numFmtId="1" fontId="7" fillId="3" borderId="4" xfId="0" applyNumberFormat="1" applyFont="1" applyFill="1" applyBorder="1"/>
    <xf numFmtId="1" fontId="7" fillId="3" borderId="6" xfId="0" applyNumberFormat="1" applyFont="1" applyFill="1" applyBorder="1"/>
    <xf numFmtId="1" fontId="0" fillId="0" borderId="0" xfId="0" applyNumberFormat="1"/>
    <xf numFmtId="0" fontId="2" fillId="2" borderId="0" xfId="0" applyFont="1" applyFill="1"/>
    <xf numFmtId="0" fontId="0" fillId="2" borderId="0" xfId="0" applyFont="1" applyFill="1"/>
    <xf numFmtId="0" fontId="2" fillId="2" borderId="0" xfId="0" applyFont="1" applyFill="1" applyAlignment="1">
      <alignment wrapText="1"/>
    </xf>
    <xf numFmtId="0" fontId="2" fillId="2" borderId="1" xfId="0" applyFont="1" applyFill="1" applyBorder="1" applyAlignment="1">
      <alignment horizontal="left"/>
    </xf>
    <xf numFmtId="0" fontId="2" fillId="2" borderId="2" xfId="0" applyFont="1" applyFill="1" applyBorder="1"/>
    <xf numFmtId="0" fontId="0" fillId="2" borderId="0" xfId="0" applyFont="1" applyFill="1" applyBorder="1"/>
    <xf numFmtId="0" fontId="0" fillId="2" borderId="0" xfId="0" applyFont="1" applyFill="1" applyBorder="1" applyAlignment="1">
      <alignment horizontal="left" wrapText="1"/>
    </xf>
    <xf numFmtId="0" fontId="0" fillId="2" borderId="0" xfId="0" applyFill="1" applyAlignment="1">
      <alignment horizontal="left" wrapText="1"/>
    </xf>
    <xf numFmtId="0" fontId="0" fillId="2" borderId="3" xfId="0" applyFont="1" applyFill="1" applyBorder="1" applyAlignment="1">
      <alignment horizontal="left"/>
    </xf>
    <xf numFmtId="0" fontId="0" fillId="2" borderId="4" xfId="0" applyFont="1" applyFill="1" applyBorder="1" applyAlignment="1">
      <alignment horizontal="left"/>
    </xf>
    <xf numFmtId="0" fontId="0" fillId="2" borderId="0" xfId="0" applyFont="1" applyFill="1" applyBorder="1" applyAlignment="1">
      <alignment horizontal="left"/>
    </xf>
    <xf numFmtId="0" fontId="0" fillId="2" borderId="5" xfId="0" applyFont="1" applyFill="1" applyBorder="1" applyAlignment="1">
      <alignment horizontal="left"/>
    </xf>
    <xf numFmtId="0" fontId="0" fillId="2" borderId="6" xfId="0" applyFont="1" applyFill="1" applyBorder="1" applyAlignment="1">
      <alignment horizontal="left"/>
    </xf>
    <xf numFmtId="0" fontId="2" fillId="2" borderId="0" xfId="0" applyFont="1" applyFill="1" applyBorder="1"/>
    <xf numFmtId="0" fontId="14" fillId="2" borderId="0" xfId="0" applyFont="1" applyFill="1" applyBorder="1"/>
    <xf numFmtId="0" fontId="18" fillId="4" borderId="0" xfId="343" quotePrefix="1" applyFont="1" applyFill="1" applyAlignment="1">
      <alignment horizontal="center" vertical="center"/>
    </xf>
    <xf numFmtId="14" fontId="20" fillId="6" borderId="6" xfId="343" applyNumberFormat="1" applyFont="1" applyFill="1" applyBorder="1" applyAlignment="1">
      <alignment horizontal="center" vertical="center"/>
    </xf>
    <xf numFmtId="0" fontId="1" fillId="0" borderId="0" xfId="343"/>
    <xf numFmtId="0" fontId="21" fillId="6" borderId="8" xfId="343" applyFont="1" applyFill="1" applyBorder="1" applyAlignment="1">
      <alignment horizontal="center" vertical="center"/>
    </xf>
    <xf numFmtId="0" fontId="21" fillId="6" borderId="9" xfId="343" applyFont="1" applyFill="1" applyBorder="1" applyAlignment="1">
      <alignment horizontal="center" vertical="center"/>
    </xf>
    <xf numFmtId="0" fontId="21" fillId="6" borderId="10" xfId="343" applyFont="1" applyFill="1" applyBorder="1" applyAlignment="1">
      <alignment horizontal="center" vertical="center"/>
    </xf>
    <xf numFmtId="0" fontId="21" fillId="6" borderId="11" xfId="343" applyFont="1" applyFill="1" applyBorder="1" applyAlignment="1">
      <alignment vertical="center"/>
    </xf>
    <xf numFmtId="0" fontId="21" fillId="7" borderId="11" xfId="343" applyFont="1" applyFill="1" applyBorder="1" applyAlignment="1">
      <alignment horizontal="left" vertical="center"/>
    </xf>
    <xf numFmtId="0" fontId="21" fillId="8" borderId="11" xfId="343" applyFont="1" applyFill="1" applyBorder="1" applyAlignment="1">
      <alignment horizontal="left" vertical="center"/>
    </xf>
    <xf numFmtId="0" fontId="21" fillId="7" borderId="12" xfId="343" applyFont="1" applyFill="1" applyBorder="1" applyAlignment="1" applyProtection="1">
      <alignment horizontal="left" vertical="center"/>
      <protection locked="0"/>
    </xf>
    <xf numFmtId="0" fontId="21" fillId="9" borderId="11" xfId="343" applyFont="1" applyFill="1" applyBorder="1" applyAlignment="1">
      <alignment horizontal="left" vertical="center"/>
    </xf>
    <xf numFmtId="0" fontId="21" fillId="8" borderId="13" xfId="343" applyFont="1" applyFill="1" applyBorder="1" applyAlignment="1" applyProtection="1">
      <alignment horizontal="left" vertical="center"/>
      <protection locked="0"/>
    </xf>
    <xf numFmtId="0" fontId="21" fillId="6" borderId="11" xfId="343" applyFont="1" applyFill="1" applyBorder="1" applyAlignment="1">
      <alignment horizontal="left" vertical="center"/>
    </xf>
    <xf numFmtId="20" fontId="21" fillId="6" borderId="14" xfId="343" applyNumberFormat="1" applyFont="1" applyFill="1" applyBorder="1" applyAlignment="1">
      <alignment horizontal="center" vertical="center"/>
    </xf>
    <xf numFmtId="0" fontId="21" fillId="8" borderId="12" xfId="343" applyFont="1" applyFill="1" applyBorder="1" applyAlignment="1" applyProtection="1">
      <alignment horizontal="left" vertical="center"/>
      <protection locked="0"/>
    </xf>
    <xf numFmtId="0" fontId="21" fillId="7" borderId="15" xfId="343" applyFont="1" applyFill="1" applyBorder="1" applyAlignment="1" applyProtection="1">
      <alignment horizontal="left" vertical="center"/>
      <protection locked="0"/>
    </xf>
    <xf numFmtId="0" fontId="21" fillId="9" borderId="12" xfId="343" applyFont="1" applyFill="1" applyBorder="1" applyAlignment="1" applyProtection="1">
      <alignment horizontal="left" vertical="center"/>
      <protection locked="0"/>
    </xf>
    <xf numFmtId="0" fontId="21" fillId="6" borderId="12" xfId="343" applyFont="1" applyFill="1" applyBorder="1" applyAlignment="1" applyProtection="1">
      <alignment horizontal="left" vertical="center"/>
      <protection locked="0"/>
    </xf>
    <xf numFmtId="49" fontId="21" fillId="6" borderId="14" xfId="343" applyNumberFormat="1" applyFont="1" applyFill="1" applyBorder="1" applyAlignment="1">
      <alignment horizontal="center" vertical="center"/>
    </xf>
    <xf numFmtId="0" fontId="21" fillId="9" borderId="15" xfId="343" applyFont="1" applyFill="1" applyBorder="1" applyAlignment="1" applyProtection="1">
      <alignment horizontal="left" vertical="center"/>
      <protection locked="0"/>
    </xf>
    <xf numFmtId="0" fontId="21" fillId="6" borderId="15" xfId="343" applyFont="1" applyFill="1" applyBorder="1" applyAlignment="1" applyProtection="1">
      <alignment horizontal="left" vertical="center"/>
      <protection locked="0"/>
    </xf>
    <xf numFmtId="0" fontId="21" fillId="8" borderId="15" xfId="343" applyFont="1" applyFill="1" applyBorder="1" applyAlignment="1" applyProtection="1">
      <alignment horizontal="left" vertical="center"/>
      <protection locked="0"/>
    </xf>
    <xf numFmtId="0" fontId="22" fillId="8" borderId="15" xfId="343" applyFont="1" applyFill="1" applyBorder="1" applyAlignment="1" applyProtection="1">
      <alignment horizontal="left" vertical="center"/>
      <protection locked="0"/>
    </xf>
    <xf numFmtId="0" fontId="21" fillId="10" borderId="15" xfId="343" applyFont="1" applyFill="1" applyBorder="1" applyAlignment="1" applyProtection="1">
      <alignment horizontal="left" vertical="center"/>
      <protection locked="0"/>
    </xf>
    <xf numFmtId="0" fontId="21" fillId="11" borderId="12" xfId="343" applyFont="1" applyFill="1" applyBorder="1" applyAlignment="1" applyProtection="1">
      <alignment horizontal="left" vertical="center"/>
      <protection locked="0"/>
    </xf>
    <xf numFmtId="0" fontId="21" fillId="11" borderId="13" xfId="343" applyFont="1" applyFill="1" applyBorder="1" applyAlignment="1" applyProtection="1">
      <alignment horizontal="left" vertical="center"/>
      <protection locked="0"/>
    </xf>
    <xf numFmtId="0" fontId="21" fillId="9" borderId="13" xfId="343" applyFont="1" applyFill="1" applyBorder="1" applyAlignment="1" applyProtection="1">
      <alignment horizontal="left" vertical="center"/>
      <protection locked="0"/>
    </xf>
    <xf numFmtId="0" fontId="21" fillId="6" borderId="13" xfId="343" applyFont="1" applyFill="1" applyBorder="1" applyAlignment="1" applyProtection="1">
      <alignment horizontal="left" vertical="center"/>
      <protection locked="0"/>
    </xf>
    <xf numFmtId="0" fontId="21" fillId="11" borderId="14" xfId="343" applyFont="1" applyFill="1" applyBorder="1" applyAlignment="1" applyProtection="1">
      <alignment horizontal="left" vertical="center"/>
      <protection locked="0"/>
    </xf>
    <xf numFmtId="20" fontId="21" fillId="6" borderId="16" xfId="343" applyNumberFormat="1" applyFont="1" applyFill="1" applyBorder="1" applyAlignment="1">
      <alignment horizontal="center" vertical="center"/>
    </xf>
    <xf numFmtId="0" fontId="21" fillId="11" borderId="15" xfId="343" applyFont="1" applyFill="1" applyBorder="1" applyAlignment="1" applyProtection="1">
      <alignment horizontal="left" vertical="center"/>
      <protection locked="0"/>
    </xf>
    <xf numFmtId="20" fontId="21" fillId="6" borderId="17" xfId="343" applyNumberFormat="1" applyFont="1" applyFill="1" applyBorder="1" applyAlignment="1">
      <alignment horizontal="center" vertical="center"/>
    </xf>
    <xf numFmtId="0" fontId="21" fillId="11" borderId="18" xfId="343" applyFont="1" applyFill="1" applyBorder="1" applyAlignment="1" applyProtection="1">
      <alignment horizontal="left" vertical="center"/>
      <protection locked="0"/>
    </xf>
    <xf numFmtId="0" fontId="21" fillId="9" borderId="18" xfId="343" applyFont="1" applyFill="1" applyBorder="1" applyAlignment="1" applyProtection="1">
      <alignment horizontal="left" vertical="center"/>
      <protection locked="0"/>
    </xf>
    <xf numFmtId="0" fontId="21" fillId="6" borderId="18" xfId="343" applyFont="1" applyFill="1" applyBorder="1" applyAlignment="1" applyProtection="1">
      <alignment horizontal="left" vertical="center"/>
      <protection locked="0"/>
    </xf>
    <xf numFmtId="0" fontId="21" fillId="12" borderId="11" xfId="343" applyFont="1" applyFill="1" applyBorder="1" applyAlignment="1">
      <alignment horizontal="left" vertical="center"/>
    </xf>
    <xf numFmtId="0" fontId="21" fillId="13" borderId="11" xfId="343" applyFont="1" applyFill="1" applyBorder="1" applyAlignment="1">
      <alignment horizontal="left" vertical="center"/>
    </xf>
    <xf numFmtId="0" fontId="21" fillId="14" borderId="11" xfId="343" applyFont="1" applyFill="1" applyBorder="1" applyAlignment="1">
      <alignment horizontal="left" vertical="center"/>
    </xf>
    <xf numFmtId="0" fontId="21" fillId="12" borderId="12" xfId="343" applyFont="1" applyFill="1" applyBorder="1" applyAlignment="1" applyProtection="1">
      <alignment horizontal="left" vertical="center"/>
      <protection locked="0"/>
    </xf>
    <xf numFmtId="0" fontId="21" fillId="13" borderId="12" xfId="343" applyFont="1" applyFill="1" applyBorder="1" applyAlignment="1" applyProtection="1">
      <alignment horizontal="left" vertical="center"/>
      <protection locked="0"/>
    </xf>
    <xf numFmtId="0" fontId="21" fillId="14" borderId="12" xfId="343" applyFont="1" applyFill="1" applyBorder="1" applyAlignment="1" applyProtection="1">
      <alignment horizontal="left" vertical="center"/>
      <protection locked="0"/>
    </xf>
    <xf numFmtId="0" fontId="21" fillId="12" borderId="13" xfId="343" applyFont="1" applyFill="1" applyBorder="1" applyAlignment="1" applyProtection="1">
      <alignment horizontal="left" vertical="center"/>
      <protection locked="0"/>
    </xf>
    <xf numFmtId="0" fontId="21" fillId="13" borderId="15" xfId="343" applyFont="1" applyFill="1" applyBorder="1" applyAlignment="1" applyProtection="1">
      <alignment horizontal="left" vertical="center"/>
      <protection locked="0"/>
    </xf>
    <xf numFmtId="0" fontId="21" fillId="14" borderId="13" xfId="343" applyFont="1" applyFill="1" applyBorder="1" applyAlignment="1" applyProtection="1">
      <alignment horizontal="left" vertical="center"/>
      <protection locked="0"/>
    </xf>
    <xf numFmtId="0" fontId="21" fillId="13" borderId="13" xfId="343" applyFont="1" applyFill="1" applyBorder="1" applyAlignment="1" applyProtection="1">
      <alignment horizontal="left" vertical="center"/>
      <protection locked="0"/>
    </xf>
    <xf numFmtId="0" fontId="21" fillId="12" borderId="14" xfId="343" applyFont="1" applyFill="1" applyBorder="1" applyAlignment="1" applyProtection="1">
      <alignment horizontal="left" vertical="center"/>
      <protection locked="0"/>
    </xf>
    <xf numFmtId="0" fontId="21" fillId="13" borderId="14" xfId="343" applyFont="1" applyFill="1" applyBorder="1" applyAlignment="1" applyProtection="1">
      <alignment horizontal="left" vertical="center"/>
      <protection locked="0"/>
    </xf>
    <xf numFmtId="0" fontId="21" fillId="14" borderId="14" xfId="343" applyFont="1" applyFill="1" applyBorder="1" applyAlignment="1" applyProtection="1">
      <alignment horizontal="left" vertical="center"/>
      <protection locked="0"/>
    </xf>
    <xf numFmtId="0" fontId="21" fillId="6" borderId="14" xfId="343" applyFont="1" applyFill="1" applyBorder="1" applyAlignment="1" applyProtection="1">
      <alignment horizontal="left" vertical="center"/>
      <protection locked="0"/>
    </xf>
    <xf numFmtId="0" fontId="21" fillId="12" borderId="19" xfId="343" applyFont="1" applyFill="1" applyBorder="1" applyAlignment="1" applyProtection="1">
      <alignment horizontal="left" vertical="center"/>
      <protection locked="0"/>
    </xf>
    <xf numFmtId="0" fontId="21" fillId="13" borderId="18" xfId="343" applyFont="1" applyFill="1" applyBorder="1" applyAlignment="1" applyProtection="1">
      <alignment horizontal="left" vertical="center"/>
      <protection locked="0"/>
    </xf>
    <xf numFmtId="0" fontId="21" fillId="14" borderId="18" xfId="343" applyFont="1" applyFill="1" applyBorder="1" applyAlignment="1" applyProtection="1">
      <alignment horizontal="left" vertical="center"/>
      <protection locked="0"/>
    </xf>
    <xf numFmtId="0" fontId="21" fillId="12" borderId="18" xfId="343" applyFont="1" applyFill="1" applyBorder="1" applyAlignment="1" applyProtection="1">
      <alignment horizontal="left" vertical="center"/>
      <protection locked="0"/>
    </xf>
    <xf numFmtId="0" fontId="21" fillId="15" borderId="14" xfId="343" applyFont="1" applyFill="1" applyBorder="1" applyAlignment="1">
      <alignment horizontal="left" vertical="center"/>
    </xf>
    <xf numFmtId="0" fontId="21" fillId="16" borderId="12" xfId="343" applyFont="1" applyFill="1" applyBorder="1" applyAlignment="1" applyProtection="1">
      <alignment horizontal="left" vertical="center"/>
      <protection locked="0"/>
    </xf>
    <xf numFmtId="0" fontId="21" fillId="14" borderId="14" xfId="343" applyFont="1" applyFill="1" applyBorder="1" applyAlignment="1">
      <alignment horizontal="left" vertical="center"/>
    </xf>
    <xf numFmtId="0" fontId="21" fillId="6" borderId="14" xfId="343" applyFont="1" applyFill="1" applyBorder="1" applyAlignment="1">
      <alignment horizontal="left" vertical="center"/>
    </xf>
    <xf numFmtId="0" fontId="21" fillId="6" borderId="14" xfId="343" applyFont="1" applyFill="1" applyBorder="1" applyAlignment="1">
      <alignment vertical="center"/>
    </xf>
    <xf numFmtId="0" fontId="21" fillId="15" borderId="12" xfId="343" applyFont="1" applyFill="1" applyBorder="1" applyAlignment="1" applyProtection="1">
      <alignment horizontal="left" vertical="center"/>
      <protection locked="0"/>
    </xf>
    <xf numFmtId="0" fontId="21" fillId="16" borderId="15" xfId="343" applyFont="1" applyFill="1" applyBorder="1" applyAlignment="1" applyProtection="1">
      <alignment horizontal="left" vertical="center"/>
      <protection locked="0"/>
    </xf>
    <xf numFmtId="0" fontId="21" fillId="15" borderId="13" xfId="343" applyFont="1" applyFill="1" applyBorder="1" applyAlignment="1" applyProtection="1">
      <alignment horizontal="left" vertical="center"/>
      <protection locked="0"/>
    </xf>
    <xf numFmtId="0" fontId="21" fillId="16" borderId="13" xfId="343" applyFont="1" applyFill="1" applyBorder="1" applyAlignment="1" applyProtection="1">
      <alignment horizontal="left" vertical="center"/>
      <protection locked="0"/>
    </xf>
    <xf numFmtId="0" fontId="23" fillId="16" borderId="0" xfId="343" applyFont="1" applyFill="1" applyAlignment="1">
      <alignment vertical="center"/>
    </xf>
    <xf numFmtId="0" fontId="21" fillId="15" borderId="14" xfId="343" applyFont="1" applyFill="1" applyBorder="1" applyAlignment="1" applyProtection="1">
      <alignment horizontal="left" vertical="center"/>
      <protection locked="0"/>
    </xf>
    <xf numFmtId="0" fontId="21" fillId="15" borderId="15" xfId="343" applyFont="1" applyFill="1" applyBorder="1" applyAlignment="1" applyProtection="1">
      <alignment horizontal="left" vertical="center"/>
      <protection locked="0"/>
    </xf>
    <xf numFmtId="0" fontId="21" fillId="14" borderId="15" xfId="343" applyFont="1" applyFill="1" applyBorder="1" applyAlignment="1" applyProtection="1">
      <alignment horizontal="left" vertical="center"/>
      <protection locked="0"/>
    </xf>
    <xf numFmtId="0" fontId="21" fillId="17" borderId="15" xfId="343" applyFont="1" applyFill="1" applyBorder="1" applyAlignment="1">
      <alignment horizontal="left" vertical="center"/>
    </xf>
    <xf numFmtId="0" fontId="21" fillId="6" borderId="20" xfId="343" applyFont="1" applyFill="1" applyBorder="1" applyAlignment="1">
      <alignment horizontal="left" vertical="center"/>
    </xf>
    <xf numFmtId="0" fontId="21" fillId="6" borderId="15" xfId="343" applyFont="1" applyFill="1" applyBorder="1" applyAlignment="1">
      <alignment horizontal="left" vertical="center"/>
    </xf>
    <xf numFmtId="0" fontId="21" fillId="17" borderId="12" xfId="343" applyFont="1" applyFill="1" applyBorder="1" applyAlignment="1" applyProtection="1">
      <alignment horizontal="left" vertical="center"/>
      <protection locked="0"/>
    </xf>
    <xf numFmtId="0" fontId="21" fillId="6" borderId="21" xfId="343" applyFont="1" applyFill="1" applyBorder="1" applyAlignment="1" applyProtection="1">
      <alignment horizontal="left" vertical="center"/>
      <protection locked="0"/>
    </xf>
    <xf numFmtId="0" fontId="21" fillId="17" borderId="13" xfId="343" applyFont="1" applyFill="1" applyBorder="1" applyAlignment="1" applyProtection="1">
      <alignment horizontal="left" vertical="center"/>
      <protection locked="0"/>
    </xf>
    <xf numFmtId="0" fontId="23" fillId="0" borderId="22" xfId="343" applyFont="1" applyBorder="1" applyAlignment="1">
      <alignment vertical="center"/>
    </xf>
    <xf numFmtId="0" fontId="21" fillId="17" borderId="15" xfId="343" applyFont="1" applyFill="1" applyBorder="1" applyAlignment="1" applyProtection="1">
      <alignment horizontal="left" vertical="center"/>
      <protection locked="0"/>
    </xf>
    <xf numFmtId="0" fontId="23" fillId="0" borderId="23" xfId="343" applyFont="1" applyBorder="1" applyAlignment="1">
      <alignment vertical="center"/>
    </xf>
    <xf numFmtId="0" fontId="21" fillId="6" borderId="14" xfId="343" applyFont="1" applyFill="1" applyBorder="1" applyAlignment="1">
      <alignment horizontal="center" vertical="center"/>
    </xf>
    <xf numFmtId="0" fontId="22" fillId="17" borderId="13" xfId="343" applyFont="1" applyFill="1" applyBorder="1" applyAlignment="1" applyProtection="1">
      <alignment horizontal="left" vertical="center"/>
      <protection locked="0"/>
    </xf>
    <xf numFmtId="0" fontId="21" fillId="6" borderId="23" xfId="343" applyFont="1" applyFill="1" applyBorder="1" applyAlignment="1">
      <alignment horizontal="center" vertical="center"/>
    </xf>
    <xf numFmtId="0" fontId="21" fillId="17" borderId="18" xfId="343" applyFont="1" applyFill="1" applyBorder="1" applyAlignment="1" applyProtection="1">
      <alignment horizontal="left" vertical="center"/>
      <protection locked="0"/>
    </xf>
    <xf numFmtId="0" fontId="21" fillId="6" borderId="24" xfId="343" applyFont="1" applyFill="1" applyBorder="1" applyAlignment="1">
      <alignment vertical="center"/>
    </xf>
    <xf numFmtId="0" fontId="21" fillId="18" borderId="11" xfId="343" applyFont="1" applyFill="1" applyBorder="1" applyAlignment="1">
      <alignment horizontal="left" vertical="center"/>
    </xf>
    <xf numFmtId="0" fontId="21" fillId="19" borderId="12" xfId="343" applyFont="1" applyFill="1" applyBorder="1" applyAlignment="1" applyProtection="1">
      <alignment horizontal="left" vertical="center"/>
      <protection locked="0"/>
    </xf>
    <xf numFmtId="0" fontId="21" fillId="18" borderId="12" xfId="343" applyFont="1" applyFill="1" applyBorder="1" applyAlignment="1" applyProtection="1">
      <alignment horizontal="left" vertical="center"/>
      <protection locked="0"/>
    </xf>
    <xf numFmtId="0" fontId="21" fillId="18" borderId="13" xfId="343" applyFont="1" applyFill="1" applyBorder="1" applyAlignment="1" applyProtection="1">
      <alignment horizontal="left" vertical="center"/>
      <protection locked="0"/>
    </xf>
    <xf numFmtId="0" fontId="22" fillId="18" borderId="15" xfId="343" applyFont="1" applyFill="1" applyBorder="1" applyAlignment="1" applyProtection="1">
      <alignment horizontal="left" vertical="center"/>
      <protection locked="0"/>
    </xf>
    <xf numFmtId="0" fontId="21" fillId="18" borderId="14" xfId="343" applyFont="1" applyFill="1" applyBorder="1" applyAlignment="1" applyProtection="1">
      <alignment horizontal="left" vertical="center"/>
      <protection locked="0"/>
    </xf>
    <xf numFmtId="0" fontId="21" fillId="18" borderId="15" xfId="343" applyFont="1" applyFill="1" applyBorder="1" applyAlignment="1" applyProtection="1">
      <alignment horizontal="left" vertical="center"/>
      <protection locked="0"/>
    </xf>
    <xf numFmtId="0" fontId="21" fillId="20" borderId="11" xfId="343" applyFont="1" applyFill="1" applyBorder="1" applyAlignment="1">
      <alignment horizontal="left" vertical="center"/>
    </xf>
    <xf numFmtId="0" fontId="21" fillId="21" borderId="11" xfId="343" applyFont="1" applyFill="1" applyBorder="1" applyAlignment="1">
      <alignment horizontal="left" vertical="center"/>
    </xf>
    <xf numFmtId="0" fontId="21" fillId="20" borderId="14" xfId="343" applyFont="1" applyFill="1" applyBorder="1" applyAlignment="1" applyProtection="1">
      <alignment horizontal="left" vertical="center"/>
      <protection locked="0"/>
    </xf>
    <xf numFmtId="0" fontId="21" fillId="21" borderId="14" xfId="343" applyFont="1" applyFill="1" applyBorder="1" applyAlignment="1" applyProtection="1">
      <alignment horizontal="left" vertical="center"/>
      <protection locked="0"/>
    </xf>
    <xf numFmtId="0" fontId="21" fillId="20" borderId="15" xfId="343" applyFont="1" applyFill="1" applyBorder="1" applyAlignment="1" applyProtection="1">
      <alignment horizontal="left" vertical="center"/>
      <protection locked="0"/>
    </xf>
    <xf numFmtId="0" fontId="21" fillId="21" borderId="15" xfId="343" applyFont="1" applyFill="1" applyBorder="1" applyAlignment="1" applyProtection="1">
      <alignment horizontal="left" vertical="center"/>
      <protection locked="0"/>
    </xf>
    <xf numFmtId="0" fontId="21" fillId="20" borderId="13" xfId="343" applyFont="1" applyFill="1" applyBorder="1" applyAlignment="1" applyProtection="1">
      <alignment horizontal="left" vertical="center"/>
      <protection locked="0"/>
    </xf>
    <xf numFmtId="0" fontId="21" fillId="21" borderId="13" xfId="343" applyFont="1" applyFill="1" applyBorder="1" applyAlignment="1" applyProtection="1">
      <alignment horizontal="left" vertical="center"/>
      <protection locked="0"/>
    </xf>
    <xf numFmtId="0" fontId="22" fillId="21" borderId="15" xfId="343" applyFont="1" applyFill="1" applyBorder="1" applyAlignment="1" applyProtection="1">
      <alignment horizontal="left" vertical="center"/>
      <protection locked="0"/>
    </xf>
    <xf numFmtId="0" fontId="21" fillId="21" borderId="19" xfId="343" applyFont="1" applyFill="1" applyBorder="1" applyAlignment="1" applyProtection="1">
      <alignment horizontal="left" vertical="center"/>
      <protection locked="0"/>
    </xf>
    <xf numFmtId="0" fontId="21" fillId="6" borderId="19" xfId="343" applyFont="1" applyFill="1" applyBorder="1" applyAlignment="1" applyProtection="1">
      <alignment horizontal="left" vertical="center"/>
      <protection locked="0"/>
    </xf>
    <xf numFmtId="0" fontId="21" fillId="6" borderId="25" xfId="343" applyFont="1" applyFill="1" applyBorder="1" applyAlignment="1">
      <alignment vertical="center"/>
    </xf>
    <xf numFmtId="0" fontId="21" fillId="6" borderId="0" xfId="343" applyFont="1" applyFill="1" applyBorder="1" applyAlignment="1">
      <alignment vertical="center"/>
    </xf>
    <xf numFmtId="0" fontId="21" fillId="6" borderId="2" xfId="343" applyFont="1" applyFill="1" applyBorder="1" applyAlignment="1">
      <alignment vertical="center"/>
    </xf>
    <xf numFmtId="0" fontId="21" fillId="6" borderId="16" xfId="343" applyFont="1" applyFill="1" applyBorder="1" applyAlignment="1">
      <alignment horizontal="centerContinuous" vertical="center"/>
    </xf>
    <xf numFmtId="0" fontId="21" fillId="6" borderId="0" xfId="343" applyFont="1" applyFill="1" applyBorder="1" applyAlignment="1">
      <alignment horizontal="centerContinuous" vertical="center"/>
    </xf>
    <xf numFmtId="0" fontId="21" fillId="6" borderId="14" xfId="343" applyFont="1" applyFill="1" applyBorder="1" applyAlignment="1">
      <alignment horizontal="centerContinuous" vertical="center"/>
    </xf>
    <xf numFmtId="20" fontId="21" fillId="6" borderId="11" xfId="343" applyNumberFormat="1" applyFont="1" applyFill="1" applyBorder="1" applyAlignment="1">
      <alignment horizontal="center" vertical="center"/>
    </xf>
    <xf numFmtId="0" fontId="21" fillId="6" borderId="11" xfId="343" applyFont="1" applyFill="1" applyBorder="1" applyAlignment="1">
      <alignment horizontal="center" vertical="center"/>
    </xf>
    <xf numFmtId="0" fontId="21" fillId="6" borderId="1" xfId="343" applyFont="1" applyFill="1" applyBorder="1" applyAlignment="1">
      <alignment horizontal="left" vertical="center"/>
    </xf>
    <xf numFmtId="0" fontId="21" fillId="6" borderId="12" xfId="343" applyFont="1" applyFill="1" applyBorder="1" applyAlignment="1" applyProtection="1">
      <alignment horizontal="center" vertical="center"/>
      <protection locked="0"/>
    </xf>
    <xf numFmtId="0" fontId="21" fillId="6" borderId="26" xfId="343" applyFont="1" applyFill="1" applyBorder="1" applyAlignment="1">
      <alignment vertical="center"/>
    </xf>
    <xf numFmtId="0" fontId="21" fillId="6" borderId="13" xfId="343" applyFont="1" applyFill="1" applyBorder="1" applyAlignment="1" applyProtection="1">
      <alignment vertical="center"/>
      <protection locked="0"/>
    </xf>
    <xf numFmtId="0" fontId="21" fillId="6" borderId="27" xfId="343" applyFont="1" applyFill="1" applyBorder="1" applyAlignment="1" applyProtection="1">
      <alignment vertical="center"/>
      <protection locked="0"/>
    </xf>
    <xf numFmtId="0" fontId="23" fillId="0" borderId="17" xfId="343" applyFont="1" applyBorder="1" applyAlignment="1">
      <alignment horizontal="center" vertical="center"/>
    </xf>
    <xf numFmtId="0" fontId="21" fillId="6" borderId="15" xfId="343" applyFont="1" applyFill="1" applyBorder="1" applyAlignment="1">
      <alignment vertical="center"/>
    </xf>
    <xf numFmtId="0" fontId="23" fillId="0" borderId="0" xfId="343" applyFont="1" applyAlignment="1">
      <alignment vertical="center"/>
    </xf>
    <xf numFmtId="0" fontId="21" fillId="6" borderId="28" xfId="343" applyFont="1" applyFill="1" applyBorder="1" applyAlignment="1" applyProtection="1">
      <alignment vertical="center"/>
      <protection locked="0"/>
    </xf>
    <xf numFmtId="0" fontId="21" fillId="6" borderId="14" xfId="343" applyFont="1" applyFill="1" applyBorder="1" applyAlignment="1" applyProtection="1">
      <alignment vertical="center"/>
      <protection locked="0"/>
    </xf>
    <xf numFmtId="0" fontId="21" fillId="6" borderId="27" xfId="343" applyFont="1" applyFill="1" applyBorder="1" applyAlignment="1">
      <alignment vertical="center"/>
    </xf>
    <xf numFmtId="49" fontId="21" fillId="6" borderId="11" xfId="343" applyNumberFormat="1" applyFont="1" applyFill="1" applyBorder="1" applyAlignment="1">
      <alignment horizontal="center" vertical="center"/>
    </xf>
    <xf numFmtId="0" fontId="21" fillId="6" borderId="13" xfId="343" applyFont="1" applyFill="1" applyBorder="1" applyAlignment="1">
      <alignment vertical="center"/>
    </xf>
    <xf numFmtId="22" fontId="21" fillId="6" borderId="13" xfId="343" applyNumberFormat="1" applyFont="1" applyFill="1" applyBorder="1" applyAlignment="1">
      <alignment vertical="center"/>
    </xf>
    <xf numFmtId="22" fontId="21" fillId="6" borderId="18" xfId="343" applyNumberFormat="1" applyFont="1" applyFill="1" applyBorder="1" applyAlignment="1">
      <alignment vertical="center"/>
    </xf>
    <xf numFmtId="0" fontId="21" fillId="6" borderId="29" xfId="343" applyFont="1" applyFill="1" applyBorder="1" applyAlignment="1">
      <alignment vertical="center"/>
    </xf>
    <xf numFmtId="0" fontId="14" fillId="2" borderId="0" xfId="0" applyFont="1" applyFill="1" applyBorder="1"/>
    <xf numFmtId="0" fontId="0" fillId="2" borderId="0" xfId="0" applyFont="1" applyFill="1" applyBorder="1" applyAlignment="1">
      <alignment wrapText="1"/>
    </xf>
    <xf numFmtId="0" fontId="2" fillId="2" borderId="0" xfId="0" applyFont="1" applyFill="1" applyBorder="1" applyAlignment="1">
      <alignment wrapText="1"/>
    </xf>
    <xf numFmtId="0" fontId="17" fillId="2" borderId="0" xfId="0" applyFont="1" applyFill="1" applyBorder="1" applyAlignment="1">
      <alignment wrapText="1"/>
    </xf>
    <xf numFmtId="0" fontId="16" fillId="2" borderId="0" xfId="0" applyFont="1" applyFill="1" applyBorder="1" applyAlignment="1">
      <alignment wrapText="1"/>
    </xf>
    <xf numFmtId="0" fontId="2" fillId="2" borderId="0" xfId="0" applyFont="1" applyFill="1" applyAlignment="1">
      <alignment horizontal="left" wrapText="1"/>
    </xf>
    <xf numFmtId="0" fontId="0" fillId="2" borderId="0" xfId="0" applyFont="1" applyFill="1" applyBorder="1" applyAlignment="1">
      <alignment horizontal="left" wrapText="1"/>
    </xf>
    <xf numFmtId="0" fontId="2" fillId="2" borderId="0" xfId="0" applyFont="1" applyFill="1" applyBorder="1"/>
    <xf numFmtId="0" fontId="19" fillId="5" borderId="7" xfId="343" applyFont="1" applyFill="1" applyBorder="1" applyAlignment="1">
      <alignment horizontal="left" vertical="center"/>
    </xf>
  </cellXfs>
  <cellStyles count="34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Normal" xfId="0" builtinId="0"/>
    <cellStyle name="Normal 2" xfId="343"/>
  </cellStyles>
  <dxfs count="61">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b/>
        <i val="0"/>
        <color theme="0"/>
      </font>
      <fill>
        <patternFill>
          <bgColor theme="1"/>
        </patternFill>
      </fill>
    </dxf>
    <dxf>
      <font>
        <color theme="0"/>
      </font>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657225</xdr:colOff>
      <xdr:row>4</xdr:row>
      <xdr:rowOff>104775</xdr:rowOff>
    </xdr:from>
    <xdr:to>
      <xdr:col>8</xdr:col>
      <xdr:colOff>304800</xdr:colOff>
      <xdr:row>8</xdr:row>
      <xdr:rowOff>57150</xdr:rowOff>
    </xdr:to>
    <xdr:sp macro="[0]!Populate_Section_List_Click" textlink="">
      <xdr:nvSpPr>
        <xdr:cNvPr id="2" name="Rounded Rectangle 1"/>
        <xdr:cNvSpPr/>
      </xdr:nvSpPr>
      <xdr:spPr>
        <a:xfrm>
          <a:off x="4086225" y="904875"/>
          <a:ext cx="1704975" cy="7524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Populate Sections List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314325</xdr:colOff>
      <xdr:row>4</xdr:row>
      <xdr:rowOff>66675</xdr:rowOff>
    </xdr:from>
    <xdr:to>
      <xdr:col>7</xdr:col>
      <xdr:colOff>85725</xdr:colOff>
      <xdr:row>9</xdr:row>
      <xdr:rowOff>85725</xdr:rowOff>
    </xdr:to>
    <xdr:sp macro="[0]!Schedule_Sections_Click" textlink="">
      <xdr:nvSpPr>
        <xdr:cNvPr id="2" name="Rounded Rectangle 1"/>
        <xdr:cNvSpPr/>
      </xdr:nvSpPr>
      <xdr:spPr>
        <a:xfrm>
          <a:off x="3057525" y="866775"/>
          <a:ext cx="1828800" cy="10191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Schedule</a:t>
          </a:r>
          <a:r>
            <a:rPr lang="en-US" sz="1400" baseline="0">
              <a:latin typeface="Arial Black" panose="020B0A04020102020204" pitchFamily="34" charset="0"/>
            </a:rPr>
            <a:t> Sections</a:t>
          </a:r>
          <a:endParaRPr lang="en-US" sz="1400">
            <a:latin typeface="Arial Black" panose="020B0A040201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752475</xdr:colOff>
          <xdr:row>7</xdr:row>
          <xdr:rowOff>66675</xdr:rowOff>
        </xdr:from>
        <xdr:to>
          <xdr:col>7</xdr:col>
          <xdr:colOff>142875</xdr:colOff>
          <xdr:row>10</xdr:row>
          <xdr:rowOff>85725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Launch Scheduler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14</xdr:row>
          <xdr:rowOff>0</xdr:rowOff>
        </xdr:from>
        <xdr:to>
          <xdr:col>7</xdr:col>
          <xdr:colOff>0</xdr:colOff>
          <xdr:row>17</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Select Courses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lassuser/Downloads/030217_Diamond%20Scheduler%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Prof and Courses"/>
      <sheetName val="All Courses"/>
      <sheetName val="All Professors"/>
      <sheetName val="Course Input "/>
      <sheetName val="Courses"/>
      <sheetName val="Professors"/>
      <sheetName val="Num Sections"/>
      <sheetName val="Sections List"/>
      <sheetName val="Blocks"/>
      <sheetName val="Select Professors"/>
    </sheetNames>
    <sheetDataSet>
      <sheetData sheetId="0"/>
      <sheetData sheetId="1"/>
      <sheetData sheetId="2"/>
      <sheetData sheetId="3"/>
      <sheetData sheetId="4"/>
      <sheetData sheetId="5"/>
      <sheetData sheetId="6"/>
      <sheetData sheetId="7">
        <row r="1">
          <cell r="A1" t="str">
            <v>Course</v>
          </cell>
        </row>
        <row r="2">
          <cell r="A2" t="str">
            <v>CS 150</v>
          </cell>
        </row>
        <row r="3">
          <cell r="A3" t="str">
            <v>CS 180</v>
          </cell>
        </row>
        <row r="4">
          <cell r="A4" t="str">
            <v>CS 213</v>
          </cell>
        </row>
        <row r="5">
          <cell r="A5" t="str">
            <v>CS 240</v>
          </cell>
        </row>
        <row r="6">
          <cell r="A6" t="str">
            <v>CS 280</v>
          </cell>
        </row>
        <row r="7">
          <cell r="A7" t="str">
            <v>CS 350</v>
          </cell>
        </row>
        <row r="8">
          <cell r="A8" t="str">
            <v>CS 360</v>
          </cell>
        </row>
        <row r="9">
          <cell r="A9" t="str">
            <v>CS 402</v>
          </cell>
        </row>
        <row r="10">
          <cell r="A10" t="str">
            <v>CS 440</v>
          </cell>
        </row>
        <row r="11">
          <cell r="A11" t="str">
            <v>CS 460</v>
          </cell>
        </row>
        <row r="12">
          <cell r="A12" t="str">
            <v>CS 476</v>
          </cell>
        </row>
        <row r="13">
          <cell r="A13" t="str">
            <v>CS 480</v>
          </cell>
        </row>
        <row r="14">
          <cell r="A14" t="str">
            <v>IT 101</v>
          </cell>
        </row>
        <row r="15">
          <cell r="A15" t="str">
            <v>CS 603</v>
          </cell>
        </row>
        <row r="16">
          <cell r="A16" t="str">
            <v>CS 605</v>
          </cell>
        </row>
        <row r="17">
          <cell r="A17" t="str">
            <v>CS 607</v>
          </cell>
        </row>
        <row r="18">
          <cell r="A18" t="str">
            <v>CS 610</v>
          </cell>
        </row>
        <row r="19">
          <cell r="A19" t="str">
            <v xml:space="preserve">CS 612 </v>
          </cell>
        </row>
        <row r="20">
          <cell r="A20" t="str">
            <v>CS 620</v>
          </cell>
        </row>
        <row r="21">
          <cell r="A21" t="str">
            <v>CS 630</v>
          </cell>
        </row>
        <row r="22">
          <cell r="A22" t="str">
            <v>CS 650</v>
          </cell>
        </row>
        <row r="23">
          <cell r="A23" t="str">
            <v>CS 680</v>
          </cell>
        </row>
        <row r="24">
          <cell r="A24" t="str">
            <v>CS 740</v>
          </cell>
        </row>
        <row r="25">
          <cell r="A25" t="str">
            <v>CS 753</v>
          </cell>
        </row>
        <row r="26">
          <cell r="A26" t="str">
            <v>CS 801</v>
          </cell>
        </row>
      </sheetData>
      <sheetData sheetId="8">
        <row r="1">
          <cell r="A1" t="str">
            <v>Sections</v>
          </cell>
        </row>
        <row r="2">
          <cell r="A2" t="str">
            <v>CS 150-1</v>
          </cell>
        </row>
        <row r="3">
          <cell r="A3" t="str">
            <v>CS 150-2</v>
          </cell>
        </row>
        <row r="4">
          <cell r="A4" t="str">
            <v>CS 150-3</v>
          </cell>
        </row>
        <row r="5">
          <cell r="A5" t="str">
            <v>CS 180-1</v>
          </cell>
        </row>
        <row r="6">
          <cell r="A6" t="str">
            <v>CS 180-2</v>
          </cell>
        </row>
        <row r="7">
          <cell r="A7" t="str">
            <v>CS 180-3</v>
          </cell>
        </row>
        <row r="8">
          <cell r="A8" t="str">
            <v>CS 213-1</v>
          </cell>
        </row>
        <row r="9">
          <cell r="A9" t="str">
            <v>CS 213-2</v>
          </cell>
        </row>
        <row r="10">
          <cell r="A10" t="str">
            <v>CS 213-3</v>
          </cell>
        </row>
        <row r="11">
          <cell r="A11" t="str">
            <v>CS 213-4</v>
          </cell>
        </row>
        <row r="12">
          <cell r="A12" t="str">
            <v>CS 240-1</v>
          </cell>
        </row>
        <row r="13">
          <cell r="A13" t="str">
            <v>CS 240-2</v>
          </cell>
        </row>
        <row r="14">
          <cell r="A14" t="str">
            <v>CS 280-1</v>
          </cell>
        </row>
        <row r="15">
          <cell r="A15" t="str">
            <v>CS 350-1</v>
          </cell>
        </row>
        <row r="16">
          <cell r="A16" t="str">
            <v>CS 350-2</v>
          </cell>
        </row>
        <row r="17">
          <cell r="A17" t="str">
            <v>CS 350-3</v>
          </cell>
        </row>
        <row r="18">
          <cell r="A18" t="str">
            <v>CS 350-4</v>
          </cell>
        </row>
        <row r="19">
          <cell r="A19" t="str">
            <v>CS 360-1</v>
          </cell>
        </row>
        <row r="20">
          <cell r="A20" t="str">
            <v>CS 360-2</v>
          </cell>
        </row>
        <row r="21">
          <cell r="A21" t="str">
            <v>CS 402-1</v>
          </cell>
        </row>
        <row r="22">
          <cell r="A22" t="str">
            <v>CS 440-1</v>
          </cell>
        </row>
        <row r="23">
          <cell r="A23" t="str">
            <v>CS 460-1</v>
          </cell>
        </row>
        <row r="24">
          <cell r="A24" t="str">
            <v>CS 480-1</v>
          </cell>
        </row>
        <row r="25">
          <cell r="A25" t="str">
            <v>IT 101-1</v>
          </cell>
        </row>
        <row r="26">
          <cell r="A26" t="str">
            <v>IT 101-2</v>
          </cell>
        </row>
        <row r="27">
          <cell r="A27" t="str">
            <v>IT 101-3</v>
          </cell>
        </row>
        <row r="28">
          <cell r="A28" t="str">
            <v>CS 603-1</v>
          </cell>
        </row>
        <row r="29">
          <cell r="A29" t="str">
            <v>CS 605-1</v>
          </cell>
        </row>
        <row r="30">
          <cell r="A30" t="str">
            <v>CS 605-2</v>
          </cell>
        </row>
        <row r="31">
          <cell r="A31" t="str">
            <v>CS 605-3</v>
          </cell>
        </row>
        <row r="32">
          <cell r="A32" t="str">
            <v>CS 607-1</v>
          </cell>
        </row>
        <row r="33">
          <cell r="A33" t="str">
            <v>CS 610-1</v>
          </cell>
        </row>
        <row r="34">
          <cell r="A34" t="str">
            <v>CS 620-1</v>
          </cell>
        </row>
        <row r="35">
          <cell r="A35" t="str">
            <v>CS 630-1</v>
          </cell>
        </row>
        <row r="36">
          <cell r="A36" t="str">
            <v>CS 630-2</v>
          </cell>
        </row>
        <row r="37">
          <cell r="A37" t="str">
            <v>CS 650-1</v>
          </cell>
        </row>
        <row r="38">
          <cell r="A38" t="str">
            <v>CS 650-2</v>
          </cell>
        </row>
        <row r="39">
          <cell r="A39" t="str">
            <v>CS 650-3</v>
          </cell>
        </row>
        <row r="40">
          <cell r="A40" t="str">
            <v>CS 650-4</v>
          </cell>
        </row>
        <row r="41">
          <cell r="A41" t="str">
            <v>CS 680-1</v>
          </cell>
        </row>
      </sheetData>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
  <sheetViews>
    <sheetView workbookViewId="0">
      <selection activeCell="X29" sqref="X29"/>
    </sheetView>
  </sheetViews>
  <sheetFormatPr defaultRowHeight="15.75"/>
  <sheetData>
    <row r="1" spans="1:2">
      <c r="A1" t="s">
        <v>115</v>
      </c>
      <c r="B1" t="s">
        <v>158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29"/>
  <sheetViews>
    <sheetView workbookViewId="0">
      <selection activeCell="A1003" sqref="A1003"/>
    </sheetView>
  </sheetViews>
  <sheetFormatPr defaultColWidth="11" defaultRowHeight="15.75"/>
  <cols>
    <col min="1" max="1" width="13.875" bestFit="1" customWidth="1"/>
    <col min="2" max="2" width="14.125" bestFit="1" customWidth="1"/>
    <col min="3" max="3" width="9"/>
    <col min="5" max="5" width="39.5" bestFit="1" customWidth="1"/>
    <col min="6" max="6" width="17.625" bestFit="1" customWidth="1"/>
  </cols>
  <sheetData>
    <row r="1" spans="1:6">
      <c r="A1" s="1" t="s">
        <v>180</v>
      </c>
      <c r="B1" s="1" t="s">
        <v>2</v>
      </c>
      <c r="C1" s="1" t="s">
        <v>187</v>
      </c>
      <c r="D1" s="1" t="s">
        <v>190</v>
      </c>
      <c r="E1" s="1" t="s">
        <v>61</v>
      </c>
      <c r="F1" s="1" t="s">
        <v>93</v>
      </c>
    </row>
    <row r="2" spans="1:6">
      <c r="A2" s="17" t="s">
        <v>188</v>
      </c>
      <c r="B2" t="s">
        <v>146</v>
      </c>
      <c r="C2">
        <v>8</v>
      </c>
      <c r="D2">
        <v>8</v>
      </c>
      <c r="E2" t="s">
        <v>74</v>
      </c>
      <c r="F2" t="s">
        <v>94</v>
      </c>
    </row>
    <row r="3" spans="1:6">
      <c r="A3" s="17" t="s">
        <v>188</v>
      </c>
      <c r="B3" t="s">
        <v>79</v>
      </c>
      <c r="C3">
        <v>3</v>
      </c>
      <c r="D3">
        <v>3</v>
      </c>
      <c r="E3" t="s">
        <v>74</v>
      </c>
      <c r="F3" t="s">
        <v>94</v>
      </c>
    </row>
    <row r="4" spans="1:6">
      <c r="A4" s="17" t="s">
        <v>188</v>
      </c>
      <c r="B4" t="s">
        <v>147</v>
      </c>
      <c r="C4">
        <v>4</v>
      </c>
      <c r="D4">
        <v>4</v>
      </c>
      <c r="E4" t="s">
        <v>74</v>
      </c>
      <c r="F4" t="s">
        <v>95</v>
      </c>
    </row>
    <row r="5" spans="1:6">
      <c r="A5" s="17" t="s">
        <v>188</v>
      </c>
      <c r="B5" t="s">
        <v>148</v>
      </c>
      <c r="C5">
        <v>2</v>
      </c>
      <c r="D5">
        <v>2</v>
      </c>
      <c r="E5" t="s">
        <v>74</v>
      </c>
      <c r="F5" t="s">
        <v>94</v>
      </c>
    </row>
    <row r="6" spans="1:6">
      <c r="A6" s="17" t="s">
        <v>188</v>
      </c>
      <c r="B6" t="s">
        <v>90</v>
      </c>
      <c r="C6">
        <v>1</v>
      </c>
      <c r="D6">
        <v>1</v>
      </c>
      <c r="E6" t="s">
        <v>79</v>
      </c>
      <c r="F6" t="s">
        <v>95</v>
      </c>
    </row>
    <row r="7" spans="1:6">
      <c r="A7" s="17" t="s">
        <v>188</v>
      </c>
      <c r="B7" t="s">
        <v>110</v>
      </c>
      <c r="C7">
        <v>4</v>
      </c>
      <c r="D7">
        <v>4</v>
      </c>
      <c r="E7" t="s">
        <v>96</v>
      </c>
      <c r="F7" t="s">
        <v>94</v>
      </c>
    </row>
    <row r="8" spans="1:6">
      <c r="A8" s="17" t="s">
        <v>188</v>
      </c>
      <c r="B8" t="s">
        <v>86</v>
      </c>
      <c r="C8">
        <v>2</v>
      </c>
      <c r="D8">
        <v>2</v>
      </c>
      <c r="E8" t="s">
        <v>96</v>
      </c>
      <c r="F8" t="s">
        <v>94</v>
      </c>
    </row>
    <row r="9" spans="1:6">
      <c r="A9" s="17" t="s">
        <v>188</v>
      </c>
      <c r="B9" t="s">
        <v>149</v>
      </c>
      <c r="C9">
        <v>1</v>
      </c>
      <c r="D9">
        <v>1</v>
      </c>
      <c r="E9" t="s">
        <v>83</v>
      </c>
      <c r="F9" t="s">
        <v>95</v>
      </c>
    </row>
    <row r="10" spans="1:6">
      <c r="A10" s="17" t="s">
        <v>188</v>
      </c>
      <c r="B10" t="s">
        <v>150</v>
      </c>
      <c r="C10">
        <v>1</v>
      </c>
      <c r="D10">
        <v>1</v>
      </c>
      <c r="E10" t="s">
        <v>85</v>
      </c>
      <c r="F10" t="s">
        <v>95</v>
      </c>
    </row>
    <row r="11" spans="1:6">
      <c r="A11" s="17" t="s">
        <v>188</v>
      </c>
      <c r="B11" t="s">
        <v>151</v>
      </c>
      <c r="C11">
        <v>1</v>
      </c>
      <c r="D11">
        <v>1</v>
      </c>
      <c r="E11" t="s">
        <v>86</v>
      </c>
      <c r="F11" t="s">
        <v>95</v>
      </c>
    </row>
    <row r="12" spans="1:6">
      <c r="A12" s="17" t="s">
        <v>188</v>
      </c>
      <c r="B12" t="s">
        <v>111</v>
      </c>
      <c r="C12">
        <v>0</v>
      </c>
      <c r="D12">
        <v>0</v>
      </c>
      <c r="E12" t="s">
        <v>110</v>
      </c>
      <c r="F12" t="s">
        <v>95</v>
      </c>
    </row>
    <row r="13" spans="1:6">
      <c r="A13" s="17" t="s">
        <v>188</v>
      </c>
      <c r="B13" t="s">
        <v>152</v>
      </c>
      <c r="C13">
        <v>1</v>
      </c>
      <c r="D13">
        <v>1</v>
      </c>
      <c r="E13" t="s">
        <v>90</v>
      </c>
      <c r="F13" t="s">
        <v>95</v>
      </c>
    </row>
    <row r="14" spans="1:6">
      <c r="A14" s="17" t="s">
        <v>188</v>
      </c>
      <c r="B14" t="s">
        <v>74</v>
      </c>
      <c r="C14">
        <v>13</v>
      </c>
      <c r="D14">
        <v>13</v>
      </c>
      <c r="E14" t="s">
        <v>62</v>
      </c>
      <c r="F14" t="s">
        <v>97</v>
      </c>
    </row>
    <row r="15" spans="1:6">
      <c r="A15" s="17" t="s">
        <v>188</v>
      </c>
      <c r="B15" t="s">
        <v>153</v>
      </c>
      <c r="C15">
        <v>1</v>
      </c>
      <c r="D15">
        <v>1</v>
      </c>
      <c r="E15" t="s">
        <v>62</v>
      </c>
      <c r="F15" t="s">
        <v>99</v>
      </c>
    </row>
    <row r="16" spans="1:6">
      <c r="A16" s="17" t="s">
        <v>189</v>
      </c>
      <c r="B16" t="s">
        <v>154</v>
      </c>
      <c r="C16">
        <v>3</v>
      </c>
      <c r="D16">
        <v>3</v>
      </c>
      <c r="E16" t="s">
        <v>62</v>
      </c>
      <c r="F16" t="s">
        <v>99</v>
      </c>
    </row>
    <row r="17" spans="1:6">
      <c r="A17" s="17" t="s">
        <v>189</v>
      </c>
      <c r="B17" t="s">
        <v>155</v>
      </c>
      <c r="C17">
        <v>1</v>
      </c>
      <c r="D17">
        <v>1</v>
      </c>
      <c r="E17" t="s">
        <v>62</v>
      </c>
      <c r="F17" t="s">
        <v>99</v>
      </c>
    </row>
    <row r="18" spans="1:6">
      <c r="A18" s="17" t="s">
        <v>189</v>
      </c>
      <c r="B18" t="s">
        <v>156</v>
      </c>
      <c r="C18">
        <v>1</v>
      </c>
      <c r="D18">
        <v>1</v>
      </c>
      <c r="E18" t="s">
        <v>62</v>
      </c>
      <c r="F18" t="s">
        <v>99</v>
      </c>
    </row>
    <row r="19" spans="1:6">
      <c r="A19" s="17" t="s">
        <v>189</v>
      </c>
      <c r="B19" t="s">
        <v>101</v>
      </c>
      <c r="C19">
        <v>0</v>
      </c>
      <c r="D19">
        <v>0</v>
      </c>
      <c r="E19" t="s">
        <v>72</v>
      </c>
      <c r="F19" t="s">
        <v>95</v>
      </c>
    </row>
    <row r="20" spans="1:6">
      <c r="A20" s="17" t="s">
        <v>189</v>
      </c>
      <c r="B20" t="s">
        <v>157</v>
      </c>
      <c r="C20">
        <v>1</v>
      </c>
      <c r="D20">
        <v>1</v>
      </c>
      <c r="E20" t="s">
        <v>71</v>
      </c>
      <c r="F20" t="s">
        <v>99</v>
      </c>
    </row>
    <row r="21" spans="1:6">
      <c r="A21" s="17" t="s">
        <v>189</v>
      </c>
      <c r="B21" t="s">
        <v>158</v>
      </c>
      <c r="C21">
        <v>1</v>
      </c>
      <c r="D21">
        <v>0</v>
      </c>
      <c r="E21" t="s">
        <v>70</v>
      </c>
      <c r="F21" t="s">
        <v>99</v>
      </c>
    </row>
    <row r="22" spans="1:6">
      <c r="A22" s="17" t="s">
        <v>189</v>
      </c>
      <c r="B22" t="s">
        <v>159</v>
      </c>
      <c r="C22">
        <v>1</v>
      </c>
      <c r="D22">
        <v>1</v>
      </c>
      <c r="E22" t="s">
        <v>70</v>
      </c>
      <c r="F22" t="s">
        <v>95</v>
      </c>
    </row>
    <row r="23" spans="1:6">
      <c r="A23" s="17" t="s">
        <v>189</v>
      </c>
      <c r="B23" t="s">
        <v>160</v>
      </c>
      <c r="C23">
        <v>1</v>
      </c>
      <c r="D23">
        <v>1</v>
      </c>
      <c r="E23" t="s">
        <v>72</v>
      </c>
      <c r="F23" t="s">
        <v>95</v>
      </c>
    </row>
    <row r="24" spans="1:6">
      <c r="A24" s="17" t="s">
        <v>189</v>
      </c>
      <c r="B24" t="s">
        <v>103</v>
      </c>
      <c r="C24">
        <v>0</v>
      </c>
      <c r="D24">
        <v>0</v>
      </c>
      <c r="E24" t="s">
        <v>162</v>
      </c>
      <c r="F24" t="s">
        <v>95</v>
      </c>
    </row>
    <row r="25" spans="1:6">
      <c r="A25" s="17" t="s">
        <v>189</v>
      </c>
      <c r="B25" t="s">
        <v>106</v>
      </c>
      <c r="C25">
        <v>0</v>
      </c>
      <c r="D25">
        <v>0</v>
      </c>
      <c r="E25" t="s">
        <v>161</v>
      </c>
      <c r="F25" t="s">
        <v>95</v>
      </c>
    </row>
    <row r="26" spans="1:6">
      <c r="A26" s="17" t="s">
        <v>189</v>
      </c>
      <c r="B26" t="s">
        <v>107</v>
      </c>
      <c r="C26">
        <v>0</v>
      </c>
      <c r="D26">
        <v>0</v>
      </c>
      <c r="E26" t="s">
        <v>62</v>
      </c>
      <c r="F26" t="s">
        <v>95</v>
      </c>
    </row>
    <row r="29" spans="1:6" ht="14.1" customHeight="1"/>
  </sheetData>
  <pageMargins left="0.75" right="0.75" top="1" bottom="1" header="0.5" footer="0.5"/>
  <pageSetup orientation="portrait" horizontalDpi="4294967292" vertic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63"/>
  <sheetViews>
    <sheetView topLeftCell="D1" workbookViewId="0">
      <selection activeCell="H35" sqref="H35"/>
    </sheetView>
  </sheetViews>
  <sheetFormatPr defaultColWidth="11" defaultRowHeight="15.75"/>
  <cols>
    <col min="1" max="1" width="5.875" customWidth="1"/>
    <col min="2" max="2" width="7.125" bestFit="1" customWidth="1"/>
    <col min="3" max="3" width="10.375" bestFit="1" customWidth="1"/>
    <col min="4" max="4" width="6.375" customWidth="1"/>
    <col min="5" max="5" width="14.125" bestFit="1" customWidth="1"/>
    <col min="6" max="6" width="28.625" bestFit="1" customWidth="1"/>
    <col min="7" max="7" width="39.5" bestFit="1" customWidth="1"/>
    <col min="8" max="8" width="41.375" bestFit="1" customWidth="1"/>
  </cols>
  <sheetData>
    <row r="1" spans="1:9" ht="18.75">
      <c r="A1" s="8" t="s">
        <v>163</v>
      </c>
      <c r="B1" s="8"/>
      <c r="C1" s="5"/>
      <c r="D1" s="5"/>
      <c r="E1" s="6"/>
      <c r="F1" s="6"/>
      <c r="G1" s="6"/>
      <c r="H1" s="6"/>
      <c r="I1" s="7"/>
    </row>
    <row r="2" spans="1:9" ht="18.75">
      <c r="A2" s="8" t="s">
        <v>164</v>
      </c>
      <c r="B2" s="8"/>
      <c r="C2" s="5"/>
      <c r="D2" s="5"/>
      <c r="E2" s="6"/>
      <c r="F2" s="6"/>
      <c r="G2" s="6"/>
      <c r="H2" s="6"/>
      <c r="I2" s="7"/>
    </row>
    <row r="3" spans="1:9" ht="18.75">
      <c r="A3" s="8" t="s">
        <v>165</v>
      </c>
      <c r="B3" s="8"/>
      <c r="C3" s="5"/>
      <c r="D3" s="5"/>
      <c r="E3" s="6"/>
      <c r="F3" s="6"/>
      <c r="G3" s="6"/>
      <c r="H3" s="6"/>
      <c r="I3" s="7"/>
    </row>
    <row r="4" spans="1:9">
      <c r="A4" s="6"/>
      <c r="B4" s="6"/>
      <c r="C4" s="6"/>
      <c r="D4" s="6"/>
      <c r="E4" s="5"/>
      <c r="F4" s="6"/>
      <c r="G4" s="6"/>
      <c r="H4" s="6"/>
      <c r="I4" s="7"/>
    </row>
    <row r="5" spans="1:9">
      <c r="A5" s="6"/>
      <c r="B5" s="6"/>
      <c r="C5" s="6"/>
      <c r="D5" s="6"/>
      <c r="E5" s="5"/>
      <c r="F5" s="6"/>
      <c r="G5" s="6"/>
      <c r="H5" s="6"/>
      <c r="I5" s="7"/>
    </row>
    <row r="6" spans="1:9">
      <c r="A6" s="6"/>
      <c r="B6" s="6"/>
      <c r="C6" s="6"/>
      <c r="D6" s="6"/>
      <c r="E6" s="6"/>
      <c r="F6" s="6"/>
      <c r="G6" s="6"/>
      <c r="H6" s="6"/>
      <c r="I6" s="7"/>
    </row>
    <row r="7" spans="1:9">
      <c r="A7" s="6"/>
      <c r="B7" s="12" t="s">
        <v>146</v>
      </c>
      <c r="C7" s="9" t="s">
        <v>166</v>
      </c>
      <c r="D7" s="6"/>
      <c r="E7" s="3" t="s">
        <v>2</v>
      </c>
      <c r="F7" s="3" t="s">
        <v>4</v>
      </c>
      <c r="G7" s="3" t="s">
        <v>61</v>
      </c>
      <c r="H7" s="3" t="s">
        <v>93</v>
      </c>
      <c r="I7" s="7"/>
    </row>
    <row r="8" spans="1:9">
      <c r="A8" s="6"/>
      <c r="B8" s="13" t="s">
        <v>79</v>
      </c>
      <c r="C8" s="10" t="s">
        <v>167</v>
      </c>
      <c r="D8" s="6"/>
      <c r="E8" s="4" t="s">
        <v>10</v>
      </c>
      <c r="F8" s="4" t="s">
        <v>73</v>
      </c>
      <c r="G8" s="4" t="s">
        <v>74</v>
      </c>
      <c r="H8" s="4" t="s">
        <v>94</v>
      </c>
      <c r="I8" s="7"/>
    </row>
    <row r="9" spans="1:9">
      <c r="A9" s="6"/>
      <c r="B9" s="13" t="s">
        <v>147</v>
      </c>
      <c r="C9" s="10" t="s">
        <v>168</v>
      </c>
      <c r="D9" s="6"/>
      <c r="E9" s="4" t="s">
        <v>12</v>
      </c>
      <c r="F9" s="4" t="s">
        <v>73</v>
      </c>
      <c r="G9" s="4" t="s">
        <v>74</v>
      </c>
      <c r="H9" s="4" t="s">
        <v>94</v>
      </c>
      <c r="I9" s="7"/>
    </row>
    <row r="10" spans="1:9">
      <c r="A10" s="6"/>
      <c r="B10" s="13" t="s">
        <v>148</v>
      </c>
      <c r="C10" s="10" t="s">
        <v>169</v>
      </c>
      <c r="D10" s="6"/>
      <c r="E10" s="4" t="s">
        <v>13</v>
      </c>
      <c r="F10" s="4" t="s">
        <v>73</v>
      </c>
      <c r="G10" s="4" t="s">
        <v>74</v>
      </c>
      <c r="H10" s="4" t="s">
        <v>94</v>
      </c>
      <c r="I10" s="7"/>
    </row>
    <row r="11" spans="1:9">
      <c r="A11" s="6"/>
      <c r="B11" s="13" t="s">
        <v>90</v>
      </c>
      <c r="C11" s="10" t="s">
        <v>170</v>
      </c>
      <c r="D11" s="6"/>
      <c r="E11" s="4" t="s">
        <v>23</v>
      </c>
      <c r="F11" s="4" t="s">
        <v>73</v>
      </c>
      <c r="G11" s="4" t="s">
        <v>74</v>
      </c>
      <c r="H11" s="4" t="s">
        <v>94</v>
      </c>
      <c r="I11" s="7"/>
    </row>
    <row r="12" spans="1:9">
      <c r="A12" s="6"/>
      <c r="B12" s="13" t="s">
        <v>110</v>
      </c>
      <c r="C12" s="10" t="s">
        <v>168</v>
      </c>
      <c r="D12" s="6"/>
      <c r="E12" s="4" t="s">
        <v>24</v>
      </c>
      <c r="F12" s="4" t="s">
        <v>73</v>
      </c>
      <c r="G12" s="4" t="s">
        <v>74</v>
      </c>
      <c r="H12" s="4" t="s">
        <v>94</v>
      </c>
      <c r="I12" s="7"/>
    </row>
    <row r="13" spans="1:9">
      <c r="A13" s="6"/>
      <c r="B13" s="13" t="s">
        <v>86</v>
      </c>
      <c r="C13" s="10" t="s">
        <v>169</v>
      </c>
      <c r="D13" s="6"/>
      <c r="E13" s="4" t="s">
        <v>25</v>
      </c>
      <c r="F13" s="4" t="s">
        <v>73</v>
      </c>
      <c r="G13" s="4" t="s">
        <v>74</v>
      </c>
      <c r="H13" s="4" t="s">
        <v>94</v>
      </c>
      <c r="I13" s="7"/>
    </row>
    <row r="14" spans="1:9">
      <c r="A14" s="6"/>
      <c r="B14" s="13" t="s">
        <v>149</v>
      </c>
      <c r="C14" s="10" t="s">
        <v>170</v>
      </c>
      <c r="D14" s="6"/>
      <c r="E14" s="4" t="s">
        <v>26</v>
      </c>
      <c r="F14" s="4" t="s">
        <v>73</v>
      </c>
      <c r="G14" s="4" t="s">
        <v>74</v>
      </c>
      <c r="H14" s="4" t="s">
        <v>94</v>
      </c>
      <c r="I14" s="7"/>
    </row>
    <row r="15" spans="1:9">
      <c r="A15" s="6"/>
      <c r="B15" s="13" t="s">
        <v>150</v>
      </c>
      <c r="C15" s="10" t="s">
        <v>170</v>
      </c>
      <c r="D15" s="6"/>
      <c r="E15" s="4" t="s">
        <v>27</v>
      </c>
      <c r="F15" s="4" t="s">
        <v>73</v>
      </c>
      <c r="G15" s="4" t="s">
        <v>74</v>
      </c>
      <c r="H15" s="4" t="s">
        <v>94</v>
      </c>
      <c r="I15" s="7"/>
    </row>
    <row r="16" spans="1:9">
      <c r="A16" s="6"/>
      <c r="B16" s="13" t="s">
        <v>151</v>
      </c>
      <c r="C16" s="10" t="s">
        <v>170</v>
      </c>
      <c r="D16" s="6"/>
      <c r="E16" s="4" t="s">
        <v>11</v>
      </c>
      <c r="F16" s="4" t="s">
        <v>75</v>
      </c>
      <c r="G16" s="4" t="s">
        <v>74</v>
      </c>
      <c r="H16" s="4" t="s">
        <v>94</v>
      </c>
      <c r="I16" s="7"/>
    </row>
    <row r="17" spans="1:9">
      <c r="A17" s="6"/>
      <c r="B17" s="13" t="s">
        <v>111</v>
      </c>
      <c r="C17" s="10" t="s">
        <v>171</v>
      </c>
      <c r="D17" s="6"/>
      <c r="E17" s="4" t="s">
        <v>14</v>
      </c>
      <c r="F17" s="4" t="s">
        <v>75</v>
      </c>
      <c r="G17" s="4" t="s">
        <v>74</v>
      </c>
      <c r="H17" s="4" t="s">
        <v>94</v>
      </c>
      <c r="I17" s="7"/>
    </row>
    <row r="18" spans="1:9">
      <c r="A18" s="6"/>
      <c r="B18" s="13" t="s">
        <v>152</v>
      </c>
      <c r="C18" s="10" t="s">
        <v>170</v>
      </c>
      <c r="D18" s="6"/>
      <c r="E18" s="4" t="s">
        <v>28</v>
      </c>
      <c r="F18" s="4" t="s">
        <v>75</v>
      </c>
      <c r="G18" s="4" t="s">
        <v>74</v>
      </c>
      <c r="H18" s="4" t="s">
        <v>94</v>
      </c>
      <c r="I18" s="7"/>
    </row>
    <row r="19" spans="1:9">
      <c r="A19" s="6"/>
      <c r="B19" s="13" t="s">
        <v>74</v>
      </c>
      <c r="C19" s="10" t="s">
        <v>172</v>
      </c>
      <c r="D19" s="6"/>
      <c r="E19" s="4" t="s">
        <v>15</v>
      </c>
      <c r="F19" s="4" t="s">
        <v>76</v>
      </c>
      <c r="G19" s="4" t="s">
        <v>74</v>
      </c>
      <c r="H19" s="4" t="s">
        <v>95</v>
      </c>
      <c r="I19" s="7"/>
    </row>
    <row r="20" spans="1:9">
      <c r="A20" s="6"/>
      <c r="B20" s="13" t="s">
        <v>153</v>
      </c>
      <c r="C20" s="10" t="s">
        <v>170</v>
      </c>
      <c r="D20" s="6"/>
      <c r="E20" s="4" t="s">
        <v>16</v>
      </c>
      <c r="F20" s="4" t="s">
        <v>76</v>
      </c>
      <c r="G20" s="4" t="s">
        <v>74</v>
      </c>
      <c r="H20" s="4" t="s">
        <v>95</v>
      </c>
      <c r="I20" s="7"/>
    </row>
    <row r="21" spans="1:9">
      <c r="A21" s="6"/>
      <c r="B21" s="13" t="s">
        <v>154</v>
      </c>
      <c r="C21" s="10" t="s">
        <v>167</v>
      </c>
      <c r="D21" s="6"/>
      <c r="E21" s="4" t="s">
        <v>29</v>
      </c>
      <c r="F21" s="4" t="s">
        <v>76</v>
      </c>
      <c r="G21" s="4" t="s">
        <v>74</v>
      </c>
      <c r="H21" s="4" t="s">
        <v>95</v>
      </c>
      <c r="I21" s="7"/>
    </row>
    <row r="22" spans="1:9">
      <c r="A22" s="6"/>
      <c r="B22" s="13" t="s">
        <v>155</v>
      </c>
      <c r="C22" s="10" t="s">
        <v>170</v>
      </c>
      <c r="D22" s="6"/>
      <c r="E22" s="4" t="s">
        <v>30</v>
      </c>
      <c r="F22" s="4" t="s">
        <v>76</v>
      </c>
      <c r="G22" s="4" t="s">
        <v>74</v>
      </c>
      <c r="H22" s="4" t="s">
        <v>98</v>
      </c>
      <c r="I22" s="7"/>
    </row>
    <row r="23" spans="1:9">
      <c r="A23" s="6"/>
      <c r="B23" s="13" t="s">
        <v>156</v>
      </c>
      <c r="C23" s="10" t="s">
        <v>170</v>
      </c>
      <c r="D23" s="6"/>
      <c r="E23" s="4" t="s">
        <v>17</v>
      </c>
      <c r="F23" s="4" t="s">
        <v>77</v>
      </c>
      <c r="G23" s="4" t="s">
        <v>74</v>
      </c>
      <c r="H23" s="4" t="s">
        <v>94</v>
      </c>
      <c r="I23" s="7"/>
    </row>
    <row r="24" spans="1:9">
      <c r="A24" s="6"/>
      <c r="B24" s="13" t="s">
        <v>101</v>
      </c>
      <c r="C24" s="10" t="s">
        <v>171</v>
      </c>
      <c r="D24" s="6"/>
      <c r="E24" s="4" t="s">
        <v>18</v>
      </c>
      <c r="F24" s="4" t="s">
        <v>77</v>
      </c>
      <c r="G24" s="4" t="s">
        <v>74</v>
      </c>
      <c r="H24" s="4" t="s">
        <v>94</v>
      </c>
      <c r="I24" s="7"/>
    </row>
    <row r="25" spans="1:9">
      <c r="A25" s="6"/>
      <c r="B25" s="13" t="s">
        <v>157</v>
      </c>
      <c r="C25" s="10" t="s">
        <v>170</v>
      </c>
      <c r="D25" s="6"/>
      <c r="E25" s="4" t="s">
        <v>31</v>
      </c>
      <c r="F25" s="4" t="s">
        <v>78</v>
      </c>
      <c r="G25" s="4" t="s">
        <v>79</v>
      </c>
      <c r="H25" s="4" t="s">
        <v>95</v>
      </c>
      <c r="I25" s="7"/>
    </row>
    <row r="26" spans="1:9">
      <c r="A26" s="6"/>
      <c r="B26" s="13" t="s">
        <v>158</v>
      </c>
      <c r="C26" s="10" t="s">
        <v>170</v>
      </c>
      <c r="D26" s="6"/>
      <c r="E26" s="4" t="s">
        <v>19</v>
      </c>
      <c r="F26" s="4" t="s">
        <v>80</v>
      </c>
      <c r="G26" s="4" t="s">
        <v>96</v>
      </c>
      <c r="H26" s="4" t="s">
        <v>94</v>
      </c>
      <c r="I26" s="7"/>
    </row>
    <row r="27" spans="1:9">
      <c r="A27" s="6"/>
      <c r="B27" s="13" t="s">
        <v>159</v>
      </c>
      <c r="C27" s="10" t="s">
        <v>170</v>
      </c>
      <c r="D27" s="6"/>
      <c r="E27" s="4" t="s">
        <v>20</v>
      </c>
      <c r="F27" s="4" t="s">
        <v>80</v>
      </c>
      <c r="G27" s="4" t="s">
        <v>96</v>
      </c>
      <c r="H27" s="4" t="s">
        <v>94</v>
      </c>
      <c r="I27" s="7"/>
    </row>
    <row r="28" spans="1:9">
      <c r="A28" s="6"/>
      <c r="B28" s="13" t="s">
        <v>160</v>
      </c>
      <c r="C28" s="10" t="s">
        <v>170</v>
      </c>
      <c r="D28" s="6"/>
      <c r="E28" s="4" t="s">
        <v>21</v>
      </c>
      <c r="F28" s="4" t="s">
        <v>80</v>
      </c>
      <c r="G28" s="4" t="s">
        <v>96</v>
      </c>
      <c r="H28" s="4" t="s">
        <v>94</v>
      </c>
      <c r="I28" s="7"/>
    </row>
    <row r="29" spans="1:9">
      <c r="A29" s="6"/>
      <c r="B29" s="13" t="s">
        <v>103</v>
      </c>
      <c r="C29" s="10" t="s">
        <v>171</v>
      </c>
      <c r="D29" s="6"/>
      <c r="E29" s="4" t="s">
        <v>32</v>
      </c>
      <c r="F29" s="4" t="s">
        <v>80</v>
      </c>
      <c r="G29" s="4" t="s">
        <v>96</v>
      </c>
      <c r="H29" s="4" t="s">
        <v>94</v>
      </c>
      <c r="I29" s="7"/>
    </row>
    <row r="30" spans="1:9">
      <c r="A30" s="6"/>
      <c r="B30" s="13" t="s">
        <v>106</v>
      </c>
      <c r="C30" s="10" t="s">
        <v>171</v>
      </c>
      <c r="D30" s="6"/>
      <c r="E30" s="4" t="s">
        <v>33</v>
      </c>
      <c r="F30" s="4" t="s">
        <v>81</v>
      </c>
      <c r="G30" s="4" t="s">
        <v>96</v>
      </c>
      <c r="H30" s="4" t="s">
        <v>94</v>
      </c>
      <c r="I30" s="7"/>
    </row>
    <row r="31" spans="1:9">
      <c r="A31" s="6"/>
      <c r="B31" s="14" t="s">
        <v>107</v>
      </c>
      <c r="C31" s="11" t="s">
        <v>171</v>
      </c>
      <c r="D31" s="6"/>
      <c r="E31" s="4" t="s">
        <v>34</v>
      </c>
      <c r="F31" s="4" t="s">
        <v>81</v>
      </c>
      <c r="G31" s="4" t="s">
        <v>96</v>
      </c>
      <c r="H31" s="4" t="s">
        <v>94</v>
      </c>
      <c r="I31" s="7"/>
    </row>
    <row r="32" spans="1:9">
      <c r="A32" s="6"/>
      <c r="B32" s="6"/>
      <c r="C32" s="6"/>
      <c r="D32" s="6"/>
      <c r="E32" s="4" t="s">
        <v>35</v>
      </c>
      <c r="F32" s="4" t="s">
        <v>82</v>
      </c>
      <c r="G32" s="4" t="s">
        <v>83</v>
      </c>
      <c r="H32" s="4" t="s">
        <v>95</v>
      </c>
      <c r="I32" s="7"/>
    </row>
    <row r="33" spans="1:9">
      <c r="A33" s="6"/>
      <c r="B33" s="6"/>
      <c r="C33" s="6"/>
      <c r="D33" s="6"/>
      <c r="E33" s="4" t="s">
        <v>87</v>
      </c>
      <c r="F33" s="4" t="s">
        <v>84</v>
      </c>
      <c r="G33" s="4" t="s">
        <v>85</v>
      </c>
      <c r="H33" s="4" t="s">
        <v>95</v>
      </c>
      <c r="I33" s="7"/>
    </row>
    <row r="34" spans="1:9">
      <c r="A34" s="6"/>
      <c r="B34" s="6"/>
      <c r="C34" s="6"/>
      <c r="D34" s="6"/>
      <c r="E34" s="4" t="s">
        <v>22</v>
      </c>
      <c r="F34" s="4" t="s">
        <v>88</v>
      </c>
      <c r="G34" s="4" t="s">
        <v>86</v>
      </c>
      <c r="H34" s="4" t="s">
        <v>95</v>
      </c>
      <c r="I34" s="7"/>
    </row>
    <row r="35" spans="1:9">
      <c r="A35" s="6"/>
      <c r="B35" s="6"/>
      <c r="C35" s="6"/>
      <c r="D35" s="6"/>
      <c r="E35" s="4" t="s">
        <v>36</v>
      </c>
      <c r="F35" s="4" t="s">
        <v>89</v>
      </c>
      <c r="G35" s="4" t="s">
        <v>90</v>
      </c>
      <c r="H35" s="4" t="s">
        <v>95</v>
      </c>
      <c r="I35" s="7"/>
    </row>
    <row r="36" spans="1:9">
      <c r="A36" s="6"/>
      <c r="B36" s="6"/>
      <c r="C36" s="6"/>
      <c r="D36" s="6"/>
      <c r="E36" s="4" t="s">
        <v>37</v>
      </c>
      <c r="F36" s="4" t="s">
        <v>91</v>
      </c>
      <c r="G36" s="4" t="s">
        <v>62</v>
      </c>
      <c r="H36" s="4" t="s">
        <v>97</v>
      </c>
      <c r="I36" s="7"/>
    </row>
    <row r="37" spans="1:9">
      <c r="A37" s="6"/>
      <c r="B37" s="6"/>
      <c r="C37" s="6"/>
      <c r="D37" s="6"/>
      <c r="E37" s="4" t="s">
        <v>38</v>
      </c>
      <c r="F37" s="4" t="s">
        <v>91</v>
      </c>
      <c r="G37" s="4" t="s">
        <v>62</v>
      </c>
      <c r="H37" s="4" t="s">
        <v>97</v>
      </c>
      <c r="I37" s="7"/>
    </row>
    <row r="38" spans="1:9">
      <c r="A38" s="6"/>
      <c r="B38" s="6"/>
      <c r="C38" s="6"/>
      <c r="D38" s="6"/>
      <c r="E38" s="4" t="s">
        <v>39</v>
      </c>
      <c r="F38" s="4" t="s">
        <v>91</v>
      </c>
      <c r="G38" s="4" t="s">
        <v>62</v>
      </c>
      <c r="H38" s="4" t="s">
        <v>97</v>
      </c>
      <c r="I38" s="7"/>
    </row>
    <row r="39" spans="1:9">
      <c r="A39" s="6"/>
      <c r="B39" s="6"/>
      <c r="C39" s="6"/>
      <c r="D39" s="6"/>
      <c r="E39" s="4" t="s">
        <v>40</v>
      </c>
      <c r="F39" s="4" t="s">
        <v>91</v>
      </c>
      <c r="G39" s="4" t="s">
        <v>62</v>
      </c>
      <c r="H39" s="4" t="s">
        <v>97</v>
      </c>
      <c r="I39" s="7"/>
    </row>
    <row r="40" spans="1:9">
      <c r="A40" s="6"/>
      <c r="B40" s="6"/>
      <c r="C40" s="6"/>
      <c r="D40" s="6"/>
      <c r="E40" s="4" t="s">
        <v>41</v>
      </c>
      <c r="F40" s="4" t="s">
        <v>91</v>
      </c>
      <c r="G40" s="4" t="s">
        <v>62</v>
      </c>
      <c r="H40" s="4" t="s">
        <v>97</v>
      </c>
      <c r="I40" s="7"/>
    </row>
    <row r="41" spans="1:9">
      <c r="A41" s="6"/>
      <c r="B41" s="6"/>
      <c r="C41" s="6"/>
      <c r="D41" s="6"/>
      <c r="E41" s="4" t="s">
        <v>42</v>
      </c>
      <c r="F41" s="4" t="s">
        <v>91</v>
      </c>
      <c r="G41" s="4" t="s">
        <v>62</v>
      </c>
      <c r="H41" s="4" t="s">
        <v>97</v>
      </c>
      <c r="I41" s="7"/>
    </row>
    <row r="42" spans="1:9">
      <c r="A42" s="6"/>
      <c r="B42" s="6"/>
      <c r="C42" s="6"/>
      <c r="D42" s="6"/>
      <c r="E42" s="4" t="s">
        <v>43</v>
      </c>
      <c r="F42" s="4" t="s">
        <v>91</v>
      </c>
      <c r="G42" s="4" t="s">
        <v>62</v>
      </c>
      <c r="H42" s="4" t="s">
        <v>97</v>
      </c>
      <c r="I42" s="7"/>
    </row>
    <row r="43" spans="1:9">
      <c r="A43" s="6"/>
      <c r="B43" s="6"/>
      <c r="C43" s="6"/>
      <c r="D43" s="6"/>
      <c r="E43" s="4" t="s">
        <v>44</v>
      </c>
      <c r="F43" s="4" t="s">
        <v>91</v>
      </c>
      <c r="G43" s="4" t="s">
        <v>62</v>
      </c>
      <c r="H43" s="4" t="s">
        <v>97</v>
      </c>
      <c r="I43" s="7"/>
    </row>
    <row r="44" spans="1:9">
      <c r="A44" s="6"/>
      <c r="B44" s="6"/>
      <c r="C44" s="6"/>
      <c r="D44" s="6"/>
      <c r="E44" s="4" t="s">
        <v>45</v>
      </c>
      <c r="F44" s="4" t="s">
        <v>91</v>
      </c>
      <c r="G44" s="4" t="s">
        <v>62</v>
      </c>
      <c r="H44" s="4" t="s">
        <v>97</v>
      </c>
      <c r="I44" s="7"/>
    </row>
    <row r="45" spans="1:9">
      <c r="A45" s="6"/>
      <c r="B45" s="6"/>
      <c r="C45" s="6"/>
      <c r="D45" s="6"/>
      <c r="E45" s="4" t="s">
        <v>46</v>
      </c>
      <c r="F45" s="4" t="s">
        <v>91</v>
      </c>
      <c r="G45" s="4" t="s">
        <v>62</v>
      </c>
      <c r="H45" s="4" t="s">
        <v>97</v>
      </c>
      <c r="I45" s="7"/>
    </row>
    <row r="46" spans="1:9">
      <c r="A46" s="6"/>
      <c r="B46" s="6"/>
      <c r="C46" s="6"/>
      <c r="D46" s="6"/>
      <c r="E46" s="4" t="s">
        <v>47</v>
      </c>
      <c r="F46" s="4" t="s">
        <v>91</v>
      </c>
      <c r="G46" s="4" t="s">
        <v>62</v>
      </c>
      <c r="H46" s="4" t="s">
        <v>97</v>
      </c>
      <c r="I46" s="7"/>
    </row>
    <row r="47" spans="1:9">
      <c r="A47" s="6"/>
      <c r="B47" s="6"/>
      <c r="C47" s="6"/>
      <c r="D47" s="6"/>
      <c r="E47" s="4" t="s">
        <v>48</v>
      </c>
      <c r="F47" s="4" t="s">
        <v>91</v>
      </c>
      <c r="G47" s="4" t="s">
        <v>62</v>
      </c>
      <c r="H47" s="4" t="s">
        <v>97</v>
      </c>
      <c r="I47" s="7"/>
    </row>
    <row r="48" spans="1:9">
      <c r="A48" s="6"/>
      <c r="B48" s="6"/>
      <c r="C48" s="6"/>
      <c r="D48" s="6"/>
      <c r="E48" s="4" t="s">
        <v>49</v>
      </c>
      <c r="F48" s="4" t="s">
        <v>91</v>
      </c>
      <c r="G48" s="4" t="s">
        <v>62</v>
      </c>
      <c r="H48" s="4" t="s">
        <v>97</v>
      </c>
      <c r="I48" s="7"/>
    </row>
    <row r="49" spans="1:9">
      <c r="A49" s="6"/>
      <c r="B49" s="6"/>
      <c r="C49" s="6"/>
      <c r="D49" s="6"/>
      <c r="E49" s="4" t="s">
        <v>50</v>
      </c>
      <c r="F49" s="4" t="s">
        <v>60</v>
      </c>
      <c r="G49" s="4" t="s">
        <v>62</v>
      </c>
      <c r="H49" s="4" t="s">
        <v>99</v>
      </c>
      <c r="I49" s="7"/>
    </row>
    <row r="50" spans="1:9">
      <c r="A50" s="6"/>
      <c r="B50" s="6"/>
      <c r="C50" s="6"/>
      <c r="D50" s="6"/>
      <c r="E50" s="4" t="s">
        <v>51</v>
      </c>
      <c r="F50" s="4" t="s">
        <v>63</v>
      </c>
      <c r="G50" s="4" t="s">
        <v>62</v>
      </c>
      <c r="H50" s="4" t="s">
        <v>99</v>
      </c>
      <c r="I50" s="7"/>
    </row>
    <row r="51" spans="1:9">
      <c r="A51" s="6"/>
      <c r="B51" s="6"/>
      <c r="C51" s="6"/>
      <c r="D51" s="6"/>
      <c r="E51" s="4" t="s">
        <v>52</v>
      </c>
      <c r="F51" s="4" t="s">
        <v>63</v>
      </c>
      <c r="G51" s="4" t="s">
        <v>62</v>
      </c>
      <c r="H51" s="4" t="s">
        <v>99</v>
      </c>
      <c r="I51" s="7"/>
    </row>
    <row r="52" spans="1:9">
      <c r="A52" s="6"/>
      <c r="B52" s="6"/>
      <c r="C52" s="6"/>
      <c r="D52" s="6"/>
      <c r="E52" s="4" t="s">
        <v>53</v>
      </c>
      <c r="F52" s="4" t="s">
        <v>63</v>
      </c>
      <c r="G52" s="4" t="s">
        <v>62</v>
      </c>
      <c r="H52" s="4" t="s">
        <v>99</v>
      </c>
      <c r="I52" s="7"/>
    </row>
    <row r="53" spans="1:9">
      <c r="A53" s="6"/>
      <c r="B53" s="6"/>
      <c r="C53" s="6"/>
      <c r="D53" s="6"/>
      <c r="E53" s="4" t="s">
        <v>54</v>
      </c>
      <c r="F53" s="4" t="s">
        <v>64</v>
      </c>
      <c r="G53" s="4" t="s">
        <v>62</v>
      </c>
      <c r="H53" s="4" t="s">
        <v>99</v>
      </c>
      <c r="I53" s="7"/>
    </row>
    <row r="54" spans="1:9">
      <c r="A54" s="6"/>
      <c r="B54" s="6"/>
      <c r="C54" s="6"/>
      <c r="D54" s="6"/>
      <c r="E54" s="4" t="s">
        <v>55</v>
      </c>
      <c r="F54" s="4" t="s">
        <v>65</v>
      </c>
      <c r="G54" s="4" t="s">
        <v>62</v>
      </c>
      <c r="H54" s="4" t="s">
        <v>99</v>
      </c>
      <c r="I54" s="7"/>
    </row>
    <row r="55" spans="1:9">
      <c r="A55" s="6"/>
      <c r="B55" s="6"/>
      <c r="C55" s="6"/>
      <c r="D55" s="6"/>
      <c r="E55" s="4" t="s">
        <v>56</v>
      </c>
      <c r="F55" s="4" t="s">
        <v>66</v>
      </c>
      <c r="G55" s="4" t="s">
        <v>71</v>
      </c>
      <c r="H55" s="4" t="s">
        <v>99</v>
      </c>
      <c r="I55" s="7"/>
    </row>
    <row r="56" spans="1:9">
      <c r="A56" s="6"/>
      <c r="B56" s="6"/>
      <c r="C56" s="6"/>
      <c r="D56" s="6"/>
      <c r="E56" s="4" t="s">
        <v>57</v>
      </c>
      <c r="F56" s="4" t="s">
        <v>67</v>
      </c>
      <c r="G56" s="4" t="s">
        <v>70</v>
      </c>
      <c r="H56" s="4" t="s">
        <v>99</v>
      </c>
      <c r="I56" s="7"/>
    </row>
    <row r="57" spans="1:9">
      <c r="A57" s="6"/>
      <c r="B57" s="6"/>
      <c r="C57" s="6"/>
      <c r="D57" s="6"/>
      <c r="E57" s="4" t="s">
        <v>58</v>
      </c>
      <c r="F57" s="4" t="s">
        <v>68</v>
      </c>
      <c r="G57" s="4" t="s">
        <v>70</v>
      </c>
      <c r="H57" s="4" t="s">
        <v>95</v>
      </c>
      <c r="I57" s="7"/>
    </row>
    <row r="58" spans="1:9">
      <c r="A58" s="6"/>
      <c r="B58" s="6"/>
      <c r="C58" s="6"/>
      <c r="D58" s="6"/>
      <c r="E58" s="4" t="s">
        <v>59</v>
      </c>
      <c r="F58" s="4" t="s">
        <v>69</v>
      </c>
      <c r="G58" s="4" t="s">
        <v>72</v>
      </c>
      <c r="H58" s="4" t="s">
        <v>95</v>
      </c>
      <c r="I58" s="7"/>
    </row>
    <row r="59" spans="1:9">
      <c r="A59" s="6"/>
      <c r="B59" s="6"/>
      <c r="C59" s="6"/>
      <c r="D59" s="6"/>
      <c r="E59" s="6"/>
      <c r="F59" s="6"/>
      <c r="G59" s="6"/>
      <c r="H59" s="6"/>
      <c r="I59" s="7"/>
    </row>
    <row r="60" spans="1:9">
      <c r="A60" s="6"/>
      <c r="B60" s="6"/>
      <c r="C60" s="6"/>
      <c r="D60" s="6"/>
      <c r="E60" s="6"/>
      <c r="F60" s="6"/>
      <c r="G60" s="6"/>
      <c r="H60" s="6"/>
      <c r="I60" s="7"/>
    </row>
    <row r="61" spans="1:9">
      <c r="A61" s="6"/>
      <c r="B61" s="6"/>
      <c r="C61" s="6"/>
      <c r="D61" s="6"/>
      <c r="E61" s="6"/>
      <c r="F61" s="6"/>
      <c r="G61" s="6"/>
      <c r="H61" s="6"/>
      <c r="I61" s="7"/>
    </row>
    <row r="62" spans="1:9">
      <c r="A62" s="6"/>
      <c r="B62" s="6"/>
      <c r="C62" s="6"/>
      <c r="D62" s="6"/>
      <c r="E62" s="6"/>
      <c r="F62" s="6"/>
      <c r="G62" s="6"/>
      <c r="H62" s="6"/>
      <c r="I62" s="7"/>
    </row>
    <row r="63" spans="1:9">
      <c r="A63" s="6"/>
      <c r="B63" s="6"/>
      <c r="C63" s="6"/>
      <c r="D63" s="6"/>
      <c r="E63" s="6"/>
      <c r="F63" s="6"/>
      <c r="G63" s="6"/>
      <c r="H63" s="6"/>
      <c r="I63" s="7"/>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61"/>
  <sheetViews>
    <sheetView workbookViewId="0">
      <selection activeCell="C3" sqref="C3"/>
    </sheetView>
  </sheetViews>
  <sheetFormatPr defaultColWidth="11" defaultRowHeight="15.75"/>
  <cols>
    <col min="1" max="1" width="5.375" bestFit="1" customWidth="1"/>
    <col min="2" max="2" width="12" bestFit="1" customWidth="1"/>
    <col min="3" max="3" width="14" bestFit="1" customWidth="1"/>
    <col min="4" max="4" width="48.375" bestFit="1" customWidth="1"/>
    <col min="5" max="5" width="39.5" bestFit="1" customWidth="1"/>
    <col min="6" max="6" width="41.375" bestFit="1" customWidth="1"/>
  </cols>
  <sheetData>
    <row r="1" spans="1:15">
      <c r="A1" s="1" t="s">
        <v>92</v>
      </c>
      <c r="B1" s="1" t="s">
        <v>3</v>
      </c>
      <c r="C1" s="1" t="s">
        <v>2</v>
      </c>
      <c r="D1" s="1" t="s">
        <v>4</v>
      </c>
      <c r="E1" s="1" t="s">
        <v>61</v>
      </c>
      <c r="F1" s="1" t="s">
        <v>93</v>
      </c>
      <c r="G1" s="1" t="s">
        <v>5</v>
      </c>
      <c r="H1" s="1" t="s">
        <v>6</v>
      </c>
      <c r="I1" s="1" t="s">
        <v>7</v>
      </c>
      <c r="J1" s="1" t="s">
        <v>8</v>
      </c>
      <c r="N1" t="s">
        <v>0</v>
      </c>
      <c r="O1" t="s">
        <v>1</v>
      </c>
    </row>
    <row r="2" spans="1:15">
      <c r="A2" t="s">
        <v>9</v>
      </c>
      <c r="B2">
        <v>10087</v>
      </c>
      <c r="C2" t="s">
        <v>10</v>
      </c>
      <c r="D2" t="s">
        <v>73</v>
      </c>
      <c r="E2" t="s">
        <v>74</v>
      </c>
      <c r="F2" t="s">
        <v>94</v>
      </c>
    </row>
    <row r="3" spans="1:15">
      <c r="A3" t="s">
        <v>9</v>
      </c>
      <c r="B3">
        <v>10088</v>
      </c>
      <c r="C3" t="s">
        <v>12</v>
      </c>
      <c r="D3" t="s">
        <v>73</v>
      </c>
      <c r="E3" t="s">
        <v>74</v>
      </c>
      <c r="F3" t="s">
        <v>94</v>
      </c>
    </row>
    <row r="4" spans="1:15">
      <c r="A4" t="s">
        <v>9</v>
      </c>
      <c r="B4">
        <v>10089</v>
      </c>
      <c r="C4" t="s">
        <v>13</v>
      </c>
      <c r="D4" t="s">
        <v>73</v>
      </c>
      <c r="E4" t="s">
        <v>74</v>
      </c>
      <c r="F4" t="s">
        <v>94</v>
      </c>
    </row>
    <row r="5" spans="1:15">
      <c r="A5" t="s">
        <v>9</v>
      </c>
      <c r="B5">
        <v>10090</v>
      </c>
      <c r="C5" t="s">
        <v>23</v>
      </c>
      <c r="D5" t="s">
        <v>73</v>
      </c>
      <c r="E5" t="s">
        <v>74</v>
      </c>
      <c r="F5" t="s">
        <v>94</v>
      </c>
    </row>
    <row r="6" spans="1:15">
      <c r="A6" t="s">
        <v>9</v>
      </c>
      <c r="B6">
        <v>10091</v>
      </c>
      <c r="C6" t="s">
        <v>24</v>
      </c>
      <c r="D6" t="s">
        <v>73</v>
      </c>
      <c r="E6" t="s">
        <v>74</v>
      </c>
      <c r="F6" t="s">
        <v>94</v>
      </c>
    </row>
    <row r="7" spans="1:15">
      <c r="A7" t="s">
        <v>9</v>
      </c>
      <c r="B7">
        <v>10092</v>
      </c>
      <c r="C7" t="s">
        <v>25</v>
      </c>
      <c r="D7" t="s">
        <v>73</v>
      </c>
      <c r="E7" t="s">
        <v>74</v>
      </c>
      <c r="F7" t="s">
        <v>94</v>
      </c>
    </row>
    <row r="8" spans="1:15">
      <c r="A8" t="s">
        <v>9</v>
      </c>
      <c r="B8">
        <v>10093</v>
      </c>
      <c r="C8" t="s">
        <v>26</v>
      </c>
      <c r="D8" t="s">
        <v>73</v>
      </c>
      <c r="E8" t="s">
        <v>74</v>
      </c>
      <c r="F8" t="s">
        <v>94</v>
      </c>
    </row>
    <row r="9" spans="1:15">
      <c r="A9" t="s">
        <v>9</v>
      </c>
      <c r="B9">
        <v>10094</v>
      </c>
      <c r="C9" t="s">
        <v>27</v>
      </c>
      <c r="D9" t="s">
        <v>73</v>
      </c>
      <c r="E9" t="s">
        <v>74</v>
      </c>
      <c r="F9" t="s">
        <v>94</v>
      </c>
    </row>
    <row r="10" spans="1:15">
      <c r="A10" t="s">
        <v>9</v>
      </c>
      <c r="B10">
        <v>10095</v>
      </c>
      <c r="C10" t="s">
        <v>11</v>
      </c>
      <c r="D10" t="s">
        <v>75</v>
      </c>
      <c r="E10" t="s">
        <v>74</v>
      </c>
      <c r="F10" t="s">
        <v>94</v>
      </c>
    </row>
    <row r="11" spans="1:15">
      <c r="A11" t="s">
        <v>9</v>
      </c>
      <c r="B11">
        <v>10096</v>
      </c>
      <c r="C11" t="s">
        <v>14</v>
      </c>
      <c r="D11" t="s">
        <v>75</v>
      </c>
      <c r="E11" t="s">
        <v>74</v>
      </c>
      <c r="F11" t="s">
        <v>94</v>
      </c>
    </row>
    <row r="12" spans="1:15">
      <c r="A12" t="s">
        <v>9</v>
      </c>
      <c r="B12">
        <v>10097</v>
      </c>
      <c r="C12" t="s">
        <v>28</v>
      </c>
      <c r="D12" t="s">
        <v>75</v>
      </c>
      <c r="E12" t="s">
        <v>74</v>
      </c>
      <c r="F12" t="s">
        <v>94</v>
      </c>
    </row>
    <row r="13" spans="1:15">
      <c r="A13" t="s">
        <v>9</v>
      </c>
      <c r="B13">
        <v>10098</v>
      </c>
      <c r="C13" t="s">
        <v>15</v>
      </c>
      <c r="D13" t="s">
        <v>76</v>
      </c>
      <c r="E13" t="s">
        <v>74</v>
      </c>
      <c r="F13" t="s">
        <v>95</v>
      </c>
    </row>
    <row r="14" spans="1:15">
      <c r="A14" t="s">
        <v>9</v>
      </c>
      <c r="B14">
        <v>10099</v>
      </c>
      <c r="C14" t="s">
        <v>16</v>
      </c>
      <c r="D14" t="s">
        <v>76</v>
      </c>
      <c r="E14" t="s">
        <v>74</v>
      </c>
      <c r="F14" t="s">
        <v>95</v>
      </c>
    </row>
    <row r="15" spans="1:15">
      <c r="A15" t="s">
        <v>9</v>
      </c>
      <c r="B15">
        <v>10100</v>
      </c>
      <c r="C15" t="s">
        <v>29</v>
      </c>
      <c r="D15" t="s">
        <v>76</v>
      </c>
      <c r="E15" t="s">
        <v>74</v>
      </c>
      <c r="F15" t="s">
        <v>95</v>
      </c>
    </row>
    <row r="16" spans="1:15">
      <c r="A16" t="s">
        <v>9</v>
      </c>
      <c r="B16">
        <v>10101</v>
      </c>
      <c r="C16" t="s">
        <v>30</v>
      </c>
      <c r="D16" t="s">
        <v>76</v>
      </c>
      <c r="E16" t="s">
        <v>74</v>
      </c>
      <c r="F16" t="s">
        <v>98</v>
      </c>
    </row>
    <row r="17" spans="1:6">
      <c r="A17" t="s">
        <v>9</v>
      </c>
      <c r="B17">
        <v>10102</v>
      </c>
      <c r="C17" t="s">
        <v>17</v>
      </c>
      <c r="D17" t="s">
        <v>77</v>
      </c>
      <c r="E17" t="s">
        <v>74</v>
      </c>
      <c r="F17" t="s">
        <v>94</v>
      </c>
    </row>
    <row r="18" spans="1:6">
      <c r="A18" t="s">
        <v>9</v>
      </c>
      <c r="B18">
        <v>10103</v>
      </c>
      <c r="C18" t="s">
        <v>18</v>
      </c>
      <c r="D18" t="s">
        <v>77</v>
      </c>
      <c r="E18" t="s">
        <v>74</v>
      </c>
      <c r="F18" t="s">
        <v>94</v>
      </c>
    </row>
    <row r="19" spans="1:6">
      <c r="A19" t="s">
        <v>9</v>
      </c>
      <c r="B19">
        <v>10104</v>
      </c>
      <c r="C19" t="s">
        <v>31</v>
      </c>
      <c r="D19" t="s">
        <v>78</v>
      </c>
      <c r="E19" t="s">
        <v>79</v>
      </c>
      <c r="F19" t="s">
        <v>95</v>
      </c>
    </row>
    <row r="20" spans="1:6">
      <c r="A20" t="s">
        <v>9</v>
      </c>
      <c r="B20">
        <v>10105</v>
      </c>
      <c r="C20" t="s">
        <v>19</v>
      </c>
      <c r="D20" t="s">
        <v>80</v>
      </c>
      <c r="E20" t="s">
        <v>96</v>
      </c>
      <c r="F20" t="s">
        <v>94</v>
      </c>
    </row>
    <row r="21" spans="1:6">
      <c r="A21" t="s">
        <v>9</v>
      </c>
      <c r="B21">
        <v>10106</v>
      </c>
      <c r="C21" t="s">
        <v>20</v>
      </c>
      <c r="D21" t="s">
        <v>80</v>
      </c>
      <c r="E21" t="s">
        <v>96</v>
      </c>
      <c r="F21" t="s">
        <v>94</v>
      </c>
    </row>
    <row r="22" spans="1:6">
      <c r="A22" t="s">
        <v>9</v>
      </c>
      <c r="B22">
        <v>10107</v>
      </c>
      <c r="C22" t="s">
        <v>21</v>
      </c>
      <c r="D22" t="s">
        <v>80</v>
      </c>
      <c r="E22" t="s">
        <v>96</v>
      </c>
      <c r="F22" t="s">
        <v>94</v>
      </c>
    </row>
    <row r="23" spans="1:6">
      <c r="A23" t="s">
        <v>9</v>
      </c>
      <c r="B23">
        <v>10108</v>
      </c>
      <c r="C23" t="s">
        <v>32</v>
      </c>
      <c r="D23" t="s">
        <v>80</v>
      </c>
      <c r="E23" t="s">
        <v>96</v>
      </c>
      <c r="F23" t="s">
        <v>94</v>
      </c>
    </row>
    <row r="24" spans="1:6">
      <c r="A24" t="s">
        <v>9</v>
      </c>
      <c r="B24">
        <v>10109</v>
      </c>
      <c r="C24" t="s">
        <v>33</v>
      </c>
      <c r="D24" t="s">
        <v>81</v>
      </c>
      <c r="E24" t="s">
        <v>96</v>
      </c>
      <c r="F24" t="s">
        <v>94</v>
      </c>
    </row>
    <row r="25" spans="1:6">
      <c r="A25" t="s">
        <v>9</v>
      </c>
      <c r="B25">
        <v>10110</v>
      </c>
      <c r="C25" t="s">
        <v>34</v>
      </c>
      <c r="D25" t="s">
        <v>81</v>
      </c>
      <c r="E25" t="s">
        <v>96</v>
      </c>
      <c r="F25" t="s">
        <v>94</v>
      </c>
    </row>
    <row r="26" spans="1:6">
      <c r="A26" t="s">
        <v>9</v>
      </c>
      <c r="B26">
        <v>10111</v>
      </c>
      <c r="C26" t="s">
        <v>35</v>
      </c>
      <c r="D26" t="s">
        <v>82</v>
      </c>
      <c r="E26" t="s">
        <v>83</v>
      </c>
      <c r="F26" t="s">
        <v>95</v>
      </c>
    </row>
    <row r="27" spans="1:6">
      <c r="A27" t="s">
        <v>9</v>
      </c>
      <c r="B27">
        <v>10112</v>
      </c>
      <c r="C27" t="s">
        <v>87</v>
      </c>
      <c r="D27" t="s">
        <v>84</v>
      </c>
      <c r="E27" t="s">
        <v>85</v>
      </c>
      <c r="F27" t="s">
        <v>95</v>
      </c>
    </row>
    <row r="28" spans="1:6">
      <c r="A28" t="s">
        <v>9</v>
      </c>
      <c r="B28">
        <v>10113</v>
      </c>
      <c r="C28" t="s">
        <v>22</v>
      </c>
      <c r="D28" t="s">
        <v>88</v>
      </c>
      <c r="E28" t="s">
        <v>86</v>
      </c>
      <c r="F28" t="s">
        <v>95</v>
      </c>
    </row>
    <row r="29" spans="1:6">
      <c r="A29" t="s">
        <v>9</v>
      </c>
      <c r="B29">
        <v>10114</v>
      </c>
      <c r="C29" t="s">
        <v>36</v>
      </c>
      <c r="D29" t="s">
        <v>89</v>
      </c>
      <c r="E29" t="s">
        <v>90</v>
      </c>
      <c r="F29" t="s">
        <v>95</v>
      </c>
    </row>
    <row r="30" spans="1:6">
      <c r="A30" t="s">
        <v>9</v>
      </c>
      <c r="B30">
        <v>10115</v>
      </c>
      <c r="C30" t="s">
        <v>37</v>
      </c>
      <c r="D30" t="s">
        <v>91</v>
      </c>
      <c r="E30" t="s">
        <v>62</v>
      </c>
      <c r="F30" t="s">
        <v>97</v>
      </c>
    </row>
    <row r="31" spans="1:6">
      <c r="A31" t="s">
        <v>9</v>
      </c>
      <c r="B31">
        <v>10116</v>
      </c>
      <c r="C31" t="s">
        <v>38</v>
      </c>
      <c r="D31" t="s">
        <v>91</v>
      </c>
      <c r="E31" t="s">
        <v>62</v>
      </c>
      <c r="F31" t="s">
        <v>97</v>
      </c>
    </row>
    <row r="32" spans="1:6">
      <c r="A32" t="s">
        <v>9</v>
      </c>
      <c r="B32">
        <v>10117</v>
      </c>
      <c r="C32" t="s">
        <v>39</v>
      </c>
      <c r="D32" t="s">
        <v>91</v>
      </c>
      <c r="E32" t="s">
        <v>62</v>
      </c>
      <c r="F32" t="s">
        <v>97</v>
      </c>
    </row>
    <row r="33" spans="1:6">
      <c r="A33" t="s">
        <v>9</v>
      </c>
      <c r="B33">
        <v>10118</v>
      </c>
      <c r="C33" t="s">
        <v>40</v>
      </c>
      <c r="D33" t="s">
        <v>91</v>
      </c>
      <c r="E33" t="s">
        <v>62</v>
      </c>
      <c r="F33" t="s">
        <v>97</v>
      </c>
    </row>
    <row r="34" spans="1:6">
      <c r="A34" t="s">
        <v>9</v>
      </c>
      <c r="B34">
        <v>10119</v>
      </c>
      <c r="C34" t="s">
        <v>41</v>
      </c>
      <c r="D34" t="s">
        <v>91</v>
      </c>
      <c r="E34" t="s">
        <v>62</v>
      </c>
      <c r="F34" t="s">
        <v>97</v>
      </c>
    </row>
    <row r="35" spans="1:6">
      <c r="A35" t="s">
        <v>9</v>
      </c>
      <c r="B35">
        <v>10120</v>
      </c>
      <c r="C35" t="s">
        <v>42</v>
      </c>
      <c r="D35" t="s">
        <v>91</v>
      </c>
      <c r="E35" t="s">
        <v>62</v>
      </c>
      <c r="F35" t="s">
        <v>97</v>
      </c>
    </row>
    <row r="36" spans="1:6">
      <c r="A36" t="s">
        <v>9</v>
      </c>
      <c r="B36">
        <v>10121</v>
      </c>
      <c r="C36" t="s">
        <v>43</v>
      </c>
      <c r="D36" t="s">
        <v>91</v>
      </c>
      <c r="E36" t="s">
        <v>62</v>
      </c>
      <c r="F36" t="s">
        <v>97</v>
      </c>
    </row>
    <row r="37" spans="1:6">
      <c r="A37" t="s">
        <v>9</v>
      </c>
      <c r="B37">
        <v>10122</v>
      </c>
      <c r="C37" t="s">
        <v>44</v>
      </c>
      <c r="D37" t="s">
        <v>91</v>
      </c>
      <c r="E37" t="s">
        <v>62</v>
      </c>
      <c r="F37" t="s">
        <v>97</v>
      </c>
    </row>
    <row r="38" spans="1:6">
      <c r="A38" t="s">
        <v>9</v>
      </c>
      <c r="B38">
        <v>10123</v>
      </c>
      <c r="C38" t="s">
        <v>45</v>
      </c>
      <c r="D38" t="s">
        <v>91</v>
      </c>
      <c r="E38" t="s">
        <v>62</v>
      </c>
      <c r="F38" t="s">
        <v>97</v>
      </c>
    </row>
    <row r="39" spans="1:6">
      <c r="A39" t="s">
        <v>9</v>
      </c>
      <c r="B39">
        <v>10124</v>
      </c>
      <c r="C39" t="s">
        <v>46</v>
      </c>
      <c r="D39" t="s">
        <v>91</v>
      </c>
      <c r="E39" t="s">
        <v>62</v>
      </c>
      <c r="F39" t="s">
        <v>97</v>
      </c>
    </row>
    <row r="40" spans="1:6">
      <c r="A40" t="s">
        <v>9</v>
      </c>
      <c r="B40">
        <v>10125</v>
      </c>
      <c r="C40" t="s">
        <v>47</v>
      </c>
      <c r="D40" t="s">
        <v>91</v>
      </c>
      <c r="E40" t="s">
        <v>62</v>
      </c>
      <c r="F40" t="s">
        <v>97</v>
      </c>
    </row>
    <row r="41" spans="1:6">
      <c r="A41" t="s">
        <v>9</v>
      </c>
      <c r="B41">
        <v>10126</v>
      </c>
      <c r="C41" t="s">
        <v>48</v>
      </c>
      <c r="D41" t="s">
        <v>91</v>
      </c>
      <c r="E41" t="s">
        <v>62</v>
      </c>
      <c r="F41" t="s">
        <v>97</v>
      </c>
    </row>
    <row r="42" spans="1:6">
      <c r="A42" t="s">
        <v>9</v>
      </c>
      <c r="B42">
        <v>10127</v>
      </c>
      <c r="C42" t="s">
        <v>49</v>
      </c>
      <c r="D42" t="s">
        <v>91</v>
      </c>
      <c r="E42" t="s">
        <v>62</v>
      </c>
      <c r="F42" t="s">
        <v>97</v>
      </c>
    </row>
    <row r="43" spans="1:6">
      <c r="A43" t="s">
        <v>9</v>
      </c>
      <c r="B43">
        <v>10128</v>
      </c>
      <c r="C43" t="s">
        <v>50</v>
      </c>
      <c r="D43" t="s">
        <v>60</v>
      </c>
      <c r="E43" t="s">
        <v>62</v>
      </c>
      <c r="F43" t="s">
        <v>99</v>
      </c>
    </row>
    <row r="44" spans="1:6">
      <c r="A44" t="s">
        <v>9</v>
      </c>
      <c r="B44">
        <v>10129</v>
      </c>
      <c r="C44" t="s">
        <v>51</v>
      </c>
      <c r="D44" t="s">
        <v>63</v>
      </c>
      <c r="E44" t="s">
        <v>62</v>
      </c>
      <c r="F44" t="s">
        <v>99</v>
      </c>
    </row>
    <row r="45" spans="1:6">
      <c r="A45" t="s">
        <v>9</v>
      </c>
      <c r="B45">
        <v>10130</v>
      </c>
      <c r="C45" t="s">
        <v>52</v>
      </c>
      <c r="D45" t="s">
        <v>63</v>
      </c>
      <c r="E45" t="s">
        <v>62</v>
      </c>
      <c r="F45" t="s">
        <v>99</v>
      </c>
    </row>
    <row r="46" spans="1:6">
      <c r="A46" t="s">
        <v>9</v>
      </c>
      <c r="B46">
        <v>10131</v>
      </c>
      <c r="C46" t="s">
        <v>53</v>
      </c>
      <c r="D46" t="s">
        <v>63</v>
      </c>
      <c r="E46" t="s">
        <v>62</v>
      </c>
      <c r="F46" t="s">
        <v>99</v>
      </c>
    </row>
    <row r="47" spans="1:6">
      <c r="A47" t="s">
        <v>9</v>
      </c>
      <c r="B47">
        <v>10132</v>
      </c>
      <c r="C47" t="s">
        <v>54</v>
      </c>
      <c r="D47" t="s">
        <v>64</v>
      </c>
      <c r="E47" t="s">
        <v>62</v>
      </c>
      <c r="F47" t="s">
        <v>99</v>
      </c>
    </row>
    <row r="48" spans="1:6">
      <c r="A48" t="s">
        <v>9</v>
      </c>
      <c r="B48">
        <v>10133</v>
      </c>
      <c r="C48" t="s">
        <v>55</v>
      </c>
      <c r="D48" t="s">
        <v>65</v>
      </c>
      <c r="E48" t="s">
        <v>62</v>
      </c>
      <c r="F48" t="s">
        <v>99</v>
      </c>
    </row>
    <row r="49" spans="1:6">
      <c r="A49" t="s">
        <v>9</v>
      </c>
      <c r="B49">
        <v>10134</v>
      </c>
      <c r="C49" t="s">
        <v>56</v>
      </c>
      <c r="D49" t="s">
        <v>66</v>
      </c>
      <c r="E49" t="s">
        <v>71</v>
      </c>
      <c r="F49" t="s">
        <v>99</v>
      </c>
    </row>
    <row r="50" spans="1:6">
      <c r="A50" t="s">
        <v>9</v>
      </c>
      <c r="B50">
        <v>10135</v>
      </c>
      <c r="C50" t="s">
        <v>57</v>
      </c>
      <c r="D50" t="s">
        <v>67</v>
      </c>
      <c r="E50" t="s">
        <v>70</v>
      </c>
      <c r="F50" t="s">
        <v>99</v>
      </c>
    </row>
    <row r="51" spans="1:6">
      <c r="A51" t="s">
        <v>9</v>
      </c>
      <c r="B51">
        <v>10136</v>
      </c>
      <c r="C51" t="s">
        <v>58</v>
      </c>
      <c r="D51" t="s">
        <v>68</v>
      </c>
      <c r="E51" t="s">
        <v>70</v>
      </c>
      <c r="F51" t="s">
        <v>95</v>
      </c>
    </row>
    <row r="52" spans="1:6">
      <c r="A52" t="s">
        <v>9</v>
      </c>
      <c r="B52">
        <v>10137</v>
      </c>
      <c r="C52" t="s">
        <v>59</v>
      </c>
      <c r="D52" t="s">
        <v>69</v>
      </c>
      <c r="E52" t="s">
        <v>72</v>
      </c>
      <c r="F52" t="s">
        <v>95</v>
      </c>
    </row>
    <row r="56" spans="1:6">
      <c r="A56" t="s">
        <v>100</v>
      </c>
    </row>
    <row r="57" spans="1:6">
      <c r="A57" t="s">
        <v>9</v>
      </c>
      <c r="C57" t="s">
        <v>101</v>
      </c>
      <c r="D57" t="s">
        <v>102</v>
      </c>
      <c r="F57" t="s">
        <v>95</v>
      </c>
    </row>
    <row r="58" spans="1:6">
      <c r="A58" t="s">
        <v>9</v>
      </c>
      <c r="C58" t="s">
        <v>103</v>
      </c>
      <c r="D58" t="s">
        <v>104</v>
      </c>
      <c r="F58" t="s">
        <v>95</v>
      </c>
    </row>
    <row r="59" spans="1:6">
      <c r="A59" t="s">
        <v>9</v>
      </c>
      <c r="C59" t="s">
        <v>106</v>
      </c>
      <c r="D59" t="s">
        <v>105</v>
      </c>
      <c r="F59" t="s">
        <v>95</v>
      </c>
    </row>
    <row r="60" spans="1:6">
      <c r="A60" t="s">
        <v>9</v>
      </c>
      <c r="C60" t="s">
        <v>107</v>
      </c>
      <c r="D60" t="s">
        <v>108</v>
      </c>
      <c r="F60" t="s">
        <v>95</v>
      </c>
    </row>
    <row r="61" spans="1:6">
      <c r="A61" t="s">
        <v>9</v>
      </c>
      <c r="C61" t="s">
        <v>111</v>
      </c>
      <c r="D61" t="s">
        <v>109</v>
      </c>
      <c r="E61" t="s">
        <v>110</v>
      </c>
      <c r="F61" t="s">
        <v>95</v>
      </c>
    </row>
  </sheetData>
  <pageMargins left="0.75" right="0.75" top="1" bottom="1" header="0.5" footer="0.5"/>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2"/>
  <sheetViews>
    <sheetView topLeftCell="A7" workbookViewId="0">
      <selection activeCell="G17" sqref="G17"/>
    </sheetView>
  </sheetViews>
  <sheetFormatPr defaultColWidth="10.875" defaultRowHeight="15.75"/>
  <cols>
    <col min="1" max="1" width="7.5" style="7" customWidth="1"/>
    <col min="2" max="2" width="7.875" style="7" customWidth="1"/>
    <col min="3" max="3" width="11.875" style="7" bestFit="1" customWidth="1"/>
    <col min="4" max="16384" width="10.875" style="7"/>
  </cols>
  <sheetData>
    <row r="1" spans="1:6">
      <c r="A1" s="27" t="s">
        <v>194</v>
      </c>
      <c r="B1" s="27"/>
      <c r="C1" s="27"/>
      <c r="D1" s="28"/>
      <c r="E1" s="28"/>
    </row>
    <row r="2" spans="1:6">
      <c r="A2" s="28"/>
      <c r="B2" s="28"/>
      <c r="C2" s="28"/>
      <c r="D2" s="28"/>
      <c r="E2" s="28"/>
    </row>
    <row r="3" spans="1:6">
      <c r="A3" s="27" t="s">
        <v>195</v>
      </c>
      <c r="B3" s="27"/>
      <c r="C3" s="27"/>
      <c r="D3" s="28"/>
      <c r="E3" s="28"/>
    </row>
    <row r="4" spans="1:6">
      <c r="A4" s="28"/>
      <c r="B4" s="28"/>
      <c r="C4" s="28"/>
      <c r="D4" s="28"/>
      <c r="E4" s="28"/>
    </row>
    <row r="5" spans="1:6" ht="45" customHeight="1">
      <c r="A5" s="169" t="s">
        <v>200</v>
      </c>
      <c r="B5" s="169"/>
      <c r="C5" s="169"/>
      <c r="D5" s="169"/>
      <c r="E5" s="169"/>
      <c r="F5" s="29"/>
    </row>
    <row r="6" spans="1:6">
      <c r="A6" s="28"/>
      <c r="B6" s="30" t="s">
        <v>191</v>
      </c>
      <c r="C6" s="31" t="s">
        <v>196</v>
      </c>
      <c r="D6" s="32"/>
      <c r="E6" s="33"/>
      <c r="F6" s="34"/>
    </row>
    <row r="7" spans="1:6">
      <c r="A7" s="28"/>
      <c r="B7" s="35" t="s">
        <v>146</v>
      </c>
      <c r="C7" s="36">
        <v>3</v>
      </c>
      <c r="D7" s="37"/>
      <c r="E7" s="32"/>
    </row>
    <row r="8" spans="1:6">
      <c r="A8" s="28"/>
      <c r="B8" s="35" t="s">
        <v>79</v>
      </c>
      <c r="C8" s="36">
        <v>2</v>
      </c>
      <c r="D8" s="37"/>
      <c r="E8" s="32"/>
    </row>
    <row r="9" spans="1:6">
      <c r="A9" s="28"/>
      <c r="B9" s="38" t="s">
        <v>158</v>
      </c>
      <c r="C9" s="39">
        <v>0</v>
      </c>
      <c r="D9" s="37"/>
      <c r="E9" s="32"/>
    </row>
    <row r="10" spans="1:6" ht="45" customHeight="1">
      <c r="A10" s="28"/>
      <c r="B10" s="170" t="s">
        <v>202</v>
      </c>
      <c r="C10" s="170"/>
      <c r="D10" s="170"/>
      <c r="E10" s="170"/>
    </row>
    <row r="11" spans="1:6">
      <c r="A11" s="171" t="s">
        <v>197</v>
      </c>
      <c r="B11" s="171"/>
      <c r="C11" s="171"/>
      <c r="D11" s="171"/>
      <c r="E11" s="171"/>
    </row>
    <row r="12" spans="1:6" ht="45" customHeight="1">
      <c r="A12" s="40"/>
      <c r="B12" s="165" t="s">
        <v>201</v>
      </c>
      <c r="C12" s="166"/>
      <c r="D12" s="166"/>
      <c r="E12" s="166"/>
    </row>
    <row r="13" spans="1:6">
      <c r="A13" s="164" t="s">
        <v>203</v>
      </c>
      <c r="B13" s="164"/>
      <c r="C13" s="164"/>
      <c r="D13" s="164"/>
      <c r="E13" s="164"/>
    </row>
    <row r="14" spans="1:6">
      <c r="A14" s="164" t="s">
        <v>198</v>
      </c>
      <c r="B14" s="164"/>
      <c r="C14" s="164"/>
      <c r="D14" s="164"/>
      <c r="E14" s="164"/>
    </row>
    <row r="15" spans="1:6" ht="60" customHeight="1">
      <c r="A15" s="41"/>
      <c r="B15" s="167" t="s">
        <v>204</v>
      </c>
      <c r="C15" s="168"/>
      <c r="D15" s="168"/>
      <c r="E15" s="168"/>
    </row>
    <row r="16" spans="1:6">
      <c r="A16" s="164" t="s">
        <v>199</v>
      </c>
      <c r="B16" s="164"/>
      <c r="C16" s="164"/>
      <c r="D16" s="164"/>
      <c r="E16" s="164"/>
    </row>
    <row r="17" spans="1:5" ht="90" customHeight="1">
      <c r="A17" s="32"/>
      <c r="B17" s="165" t="s">
        <v>205</v>
      </c>
      <c r="C17" s="165"/>
      <c r="D17" s="165"/>
      <c r="E17" s="165"/>
    </row>
    <row r="18" spans="1:5">
      <c r="A18" s="28"/>
      <c r="B18" s="28"/>
      <c r="C18" s="28"/>
      <c r="D18" s="28"/>
      <c r="E18" s="28"/>
    </row>
    <row r="19" spans="1:5">
      <c r="A19" s="28"/>
      <c r="B19" s="28"/>
      <c r="C19" s="28"/>
      <c r="D19" s="28"/>
      <c r="E19" s="28"/>
    </row>
    <row r="20" spans="1:5">
      <c r="A20" s="28"/>
      <c r="B20" s="28"/>
      <c r="C20" s="28"/>
      <c r="D20" s="28"/>
      <c r="E20" s="28"/>
    </row>
    <row r="21" spans="1:5">
      <c r="A21" s="28"/>
      <c r="B21" s="28"/>
      <c r="C21" s="28"/>
      <c r="D21" s="28"/>
      <c r="E21" s="28"/>
    </row>
    <row r="22" spans="1:5">
      <c r="A22" s="28"/>
      <c r="B22" s="28"/>
      <c r="C22" s="28"/>
      <c r="D22" s="28"/>
      <c r="E22" s="28"/>
    </row>
  </sheetData>
  <mergeCells count="9">
    <mergeCell ref="A16:E16"/>
    <mergeCell ref="B12:E12"/>
    <mergeCell ref="B15:E15"/>
    <mergeCell ref="B17:E17"/>
    <mergeCell ref="A5:E5"/>
    <mergeCell ref="B10:E10"/>
    <mergeCell ref="A11:E11"/>
    <mergeCell ref="A13:E13"/>
    <mergeCell ref="A14:E14"/>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B26"/>
  <sheetViews>
    <sheetView workbookViewId="0">
      <selection activeCell="C4" sqref="C4"/>
    </sheetView>
  </sheetViews>
  <sheetFormatPr defaultRowHeight="15.75"/>
  <cols>
    <col min="1" max="1" width="9" style="22"/>
    <col min="2" max="2" width="7.875" style="26" customWidth="1"/>
  </cols>
  <sheetData>
    <row r="1" spans="1:2">
      <c r="A1" s="18" t="s">
        <v>191</v>
      </c>
      <c r="B1" s="18" t="s">
        <v>192</v>
      </c>
    </row>
    <row r="2" spans="1:2">
      <c r="A2" s="19" t="s">
        <v>146</v>
      </c>
      <c r="B2" s="23">
        <v>3</v>
      </c>
    </row>
    <row r="3" spans="1:2">
      <c r="A3" s="20" t="s">
        <v>79</v>
      </c>
      <c r="B3" s="24">
        <v>3</v>
      </c>
    </row>
    <row r="4" spans="1:2">
      <c r="A4" s="20" t="s">
        <v>147</v>
      </c>
      <c r="B4" s="24">
        <v>4</v>
      </c>
    </row>
    <row r="5" spans="1:2">
      <c r="A5" s="20" t="s">
        <v>148</v>
      </c>
      <c r="B5" s="24">
        <v>2</v>
      </c>
    </row>
    <row r="6" spans="1:2">
      <c r="A6" s="20" t="s">
        <v>90</v>
      </c>
      <c r="B6" s="24">
        <v>1</v>
      </c>
    </row>
    <row r="7" spans="1:2">
      <c r="A7" s="20" t="s">
        <v>110</v>
      </c>
      <c r="B7" s="24">
        <v>4</v>
      </c>
    </row>
    <row r="8" spans="1:2">
      <c r="A8" s="20" t="s">
        <v>86</v>
      </c>
      <c r="B8" s="24">
        <v>2</v>
      </c>
    </row>
    <row r="9" spans="1:2">
      <c r="A9" s="20" t="s">
        <v>149</v>
      </c>
      <c r="B9" s="24">
        <v>1</v>
      </c>
    </row>
    <row r="10" spans="1:2">
      <c r="A10" s="20" t="s">
        <v>150</v>
      </c>
      <c r="B10" s="24">
        <v>1</v>
      </c>
    </row>
    <row r="11" spans="1:2">
      <c r="A11" s="20" t="s">
        <v>151</v>
      </c>
      <c r="B11" s="24">
        <v>1</v>
      </c>
    </row>
    <row r="12" spans="1:2">
      <c r="A12" s="20" t="s">
        <v>111</v>
      </c>
      <c r="B12" s="24">
        <v>0</v>
      </c>
    </row>
    <row r="13" spans="1:2">
      <c r="A13" s="20" t="s">
        <v>152</v>
      </c>
      <c r="B13" s="24">
        <v>1</v>
      </c>
    </row>
    <row r="14" spans="1:2">
      <c r="A14" s="20" t="s">
        <v>74</v>
      </c>
      <c r="B14" s="24">
        <v>3</v>
      </c>
    </row>
    <row r="15" spans="1:2">
      <c r="A15" s="20" t="s">
        <v>153</v>
      </c>
      <c r="B15" s="24">
        <v>1</v>
      </c>
    </row>
    <row r="16" spans="1:2">
      <c r="A16" s="20" t="s">
        <v>154</v>
      </c>
      <c r="B16" s="24">
        <v>3</v>
      </c>
    </row>
    <row r="17" spans="1:2">
      <c r="A17" s="20" t="s">
        <v>155</v>
      </c>
      <c r="B17" s="24">
        <v>1</v>
      </c>
    </row>
    <row r="18" spans="1:2">
      <c r="A18" s="20" t="s">
        <v>156</v>
      </c>
      <c r="B18" s="24">
        <v>1</v>
      </c>
    </row>
    <row r="19" spans="1:2">
      <c r="A19" s="20" t="s">
        <v>101</v>
      </c>
      <c r="B19" s="24">
        <v>0</v>
      </c>
    </row>
    <row r="20" spans="1:2">
      <c r="A20" s="20" t="s">
        <v>157</v>
      </c>
      <c r="B20" s="24">
        <v>1</v>
      </c>
    </row>
    <row r="21" spans="1:2">
      <c r="A21" s="20" t="s">
        <v>158</v>
      </c>
      <c r="B21" s="24">
        <v>2</v>
      </c>
    </row>
    <row r="22" spans="1:2">
      <c r="A22" s="20" t="s">
        <v>159</v>
      </c>
      <c r="B22" s="24">
        <v>4</v>
      </c>
    </row>
    <row r="23" spans="1:2">
      <c r="A23" s="20" t="s">
        <v>160</v>
      </c>
      <c r="B23" s="24">
        <v>1</v>
      </c>
    </row>
    <row r="24" spans="1:2">
      <c r="A24" s="20" t="s">
        <v>103</v>
      </c>
      <c r="B24" s="24">
        <v>0</v>
      </c>
    </row>
    <row r="25" spans="1:2">
      <c r="A25" s="20" t="s">
        <v>106</v>
      </c>
      <c r="B25" s="24">
        <v>0</v>
      </c>
    </row>
    <row r="26" spans="1:2">
      <c r="A26" s="21" t="s">
        <v>107</v>
      </c>
      <c r="B26" s="25">
        <v>0</v>
      </c>
    </row>
  </sheetData>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B1"/>
  <sheetViews>
    <sheetView workbookViewId="0">
      <selection activeCell="L21" sqref="L21"/>
    </sheetView>
  </sheetViews>
  <sheetFormatPr defaultRowHeight="15.75"/>
  <cols>
    <col min="1" max="1" width="9" style="22"/>
  </cols>
  <sheetData>
    <row r="1" spans="1:2">
      <c r="A1" s="22" t="s">
        <v>187</v>
      </c>
      <c r="B1" t="s">
        <v>193</v>
      </c>
    </row>
  </sheetData>
  <dataConsolidate/>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AC102"/>
  <sheetViews>
    <sheetView workbookViewId="0">
      <pane ySplit="1" topLeftCell="A2" activePane="bottomLeft" state="frozen"/>
      <selection pane="bottomLeft" activeCell="L13" sqref="L13"/>
    </sheetView>
  </sheetViews>
  <sheetFormatPr defaultRowHeight="15.75"/>
  <cols>
    <col min="2" max="29" width="4.25" customWidth="1"/>
  </cols>
  <sheetData>
    <row r="1" spans="1:29">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row>
    <row r="2" spans="1:29">
      <c r="A2" s="22">
        <f>'Sections List'!A2</f>
        <v>0</v>
      </c>
      <c r="B2" t="str">
        <f>IF('Sections List'!$B2=1,1,"")</f>
        <v/>
      </c>
      <c r="C2" t="str">
        <f>IF('Sections List'!$B2=2,1,"")</f>
        <v/>
      </c>
      <c r="D2" t="str">
        <f>IF('Sections List'!$B2=3,1,"")</f>
        <v/>
      </c>
      <c r="E2" t="str">
        <f>IF('Sections List'!$B2=4,1,"")</f>
        <v/>
      </c>
      <c r="F2" t="str">
        <f>IF('Sections List'!$B2=5,1,"")</f>
        <v/>
      </c>
      <c r="G2" t="str">
        <f>IF('Sections List'!$B2=6,1,"")</f>
        <v/>
      </c>
      <c r="H2" t="str">
        <f>IF('Sections List'!$B2=7,1,"")</f>
        <v/>
      </c>
      <c r="I2" t="str">
        <f>IF('Sections List'!$B2=8,1,"")</f>
        <v/>
      </c>
      <c r="J2" t="str">
        <f>IF('Sections List'!$B2=9,1,"")</f>
        <v/>
      </c>
      <c r="K2" t="str">
        <f>IF('Sections List'!$B2=10,1,"")</f>
        <v/>
      </c>
      <c r="L2" t="str">
        <f>IF('Sections List'!$B2=11,1,"")</f>
        <v/>
      </c>
      <c r="M2" t="str">
        <f>IF('Sections List'!$B2=12,1,"")</f>
        <v/>
      </c>
      <c r="N2" t="str">
        <f>IF('Sections List'!$B2=13,1,"")</f>
        <v/>
      </c>
      <c r="O2" t="str">
        <f>IF('Sections List'!$B2=14,1,"")</f>
        <v/>
      </c>
      <c r="P2" t="str">
        <f>IF('Sections List'!$B2=15,1,"")</f>
        <v/>
      </c>
      <c r="Q2" t="str">
        <f>IF('Sections List'!$B2=16,1,"")</f>
        <v/>
      </c>
      <c r="R2" t="str">
        <f>IF('Sections List'!$B2=17,1,"")</f>
        <v/>
      </c>
      <c r="S2" t="str">
        <f>IF('Sections List'!$B2=18,1,"")</f>
        <v/>
      </c>
      <c r="T2" t="str">
        <f>IF('Sections List'!$B2=19,1,"")</f>
        <v/>
      </c>
      <c r="U2" t="str">
        <f>IF('Sections List'!$B2=20,1,"")</f>
        <v/>
      </c>
      <c r="V2" t="str">
        <f>IF('Sections List'!$B2=21,1,"")</f>
        <v/>
      </c>
      <c r="W2" t="str">
        <f>IF('Sections List'!$B2=22,1,"")</f>
        <v/>
      </c>
      <c r="X2" t="str">
        <f>IF('Sections List'!$B2=23,1,"")</f>
        <v/>
      </c>
      <c r="Y2" t="str">
        <f>IF('Sections List'!$B2=24,1,"")</f>
        <v/>
      </c>
      <c r="Z2" t="str">
        <f>IF('Sections List'!$B2=25,1,"")</f>
        <v/>
      </c>
      <c r="AA2" t="str">
        <f>IF('Sections List'!$B2=26,1,"")</f>
        <v/>
      </c>
      <c r="AB2" t="str">
        <f>IF('Sections List'!$B2=27,1,"")</f>
        <v/>
      </c>
      <c r="AC2" t="str">
        <f>IF('Sections List'!$B2=28,1,"")</f>
        <v/>
      </c>
    </row>
    <row r="3" spans="1:29">
      <c r="A3" s="22">
        <f>'Sections List'!A3</f>
        <v>0</v>
      </c>
      <c r="B3" t="str">
        <f>IF('Sections List'!$B3=1,1,"")</f>
        <v/>
      </c>
      <c r="C3" t="str">
        <f>IF('Sections List'!$B3=2,1,"")</f>
        <v/>
      </c>
      <c r="D3" t="str">
        <f>IF('Sections List'!$B3=3,1,"")</f>
        <v/>
      </c>
      <c r="E3" t="str">
        <f>IF('Sections List'!$B3=4,1,"")</f>
        <v/>
      </c>
      <c r="F3" t="str">
        <f>IF('Sections List'!$B3=5,1,"")</f>
        <v/>
      </c>
      <c r="G3" t="str">
        <f>IF('Sections List'!$B3=6,1,"")</f>
        <v/>
      </c>
      <c r="H3" t="str">
        <f>IF('Sections List'!$B3=7,1,"")</f>
        <v/>
      </c>
      <c r="I3" t="str">
        <f>IF('Sections List'!$B3=8,1,"")</f>
        <v/>
      </c>
      <c r="J3" t="str">
        <f>IF('Sections List'!$B3=9,1,"")</f>
        <v/>
      </c>
      <c r="K3" t="str">
        <f>IF('Sections List'!$B3=10,1,"")</f>
        <v/>
      </c>
      <c r="L3" t="str">
        <f>IF('Sections List'!$B3=11,1,"")</f>
        <v/>
      </c>
      <c r="M3" t="str">
        <f>IF('Sections List'!$B3=12,1,"")</f>
        <v/>
      </c>
      <c r="N3" t="str">
        <f>IF('Sections List'!$B3=13,1,"")</f>
        <v/>
      </c>
      <c r="O3" t="str">
        <f>IF('Sections List'!$B3=14,1,"")</f>
        <v/>
      </c>
      <c r="P3" t="str">
        <f>IF('Sections List'!$B3=15,1,"")</f>
        <v/>
      </c>
      <c r="Q3" t="str">
        <f>IF('Sections List'!$B3=16,1,"")</f>
        <v/>
      </c>
      <c r="R3" t="str">
        <f>IF('Sections List'!$B3=17,1,"")</f>
        <v/>
      </c>
      <c r="S3" t="str">
        <f>IF('Sections List'!$B3=18,1,"")</f>
        <v/>
      </c>
      <c r="T3" t="str">
        <f>IF('Sections List'!$B3=19,1,"")</f>
        <v/>
      </c>
      <c r="U3" t="str">
        <f>IF('Sections List'!$B3=20,1,"")</f>
        <v/>
      </c>
      <c r="V3" t="str">
        <f>IF('Sections List'!$B3=21,1,"")</f>
        <v/>
      </c>
      <c r="W3" t="str">
        <f>IF('Sections List'!$B3=22,1,"")</f>
        <v/>
      </c>
      <c r="X3" t="str">
        <f>IF('Sections List'!$B3=23,1,"")</f>
        <v/>
      </c>
      <c r="Y3" t="str">
        <f>IF('Sections List'!$B3=24,1,"")</f>
        <v/>
      </c>
      <c r="Z3" t="str">
        <f>IF('Sections List'!$B3=25,1,"")</f>
        <v/>
      </c>
      <c r="AA3" t="str">
        <f>IF('Sections List'!$B3=26,1,"")</f>
        <v/>
      </c>
      <c r="AB3" t="str">
        <f>IF('Sections List'!$B3=27,1,"")</f>
        <v/>
      </c>
      <c r="AC3" t="str">
        <f>IF('Sections List'!$B3=28,1,"")</f>
        <v/>
      </c>
    </row>
    <row r="4" spans="1:29">
      <c r="A4" s="22">
        <f>'Sections List'!A4</f>
        <v>0</v>
      </c>
      <c r="B4" t="str">
        <f>IF('Sections List'!$B4=1,1,"")</f>
        <v/>
      </c>
      <c r="C4" t="str">
        <f>IF('Sections List'!$B4=2,1,"")</f>
        <v/>
      </c>
      <c r="D4" t="str">
        <f>IF('Sections List'!$B4=3,1,"")</f>
        <v/>
      </c>
      <c r="E4" t="str">
        <f>IF('Sections List'!$B4=4,1,"")</f>
        <v/>
      </c>
      <c r="F4" t="str">
        <f>IF('Sections List'!$B4=5,1,"")</f>
        <v/>
      </c>
      <c r="G4" t="str">
        <f>IF('Sections List'!$B4=6,1,"")</f>
        <v/>
      </c>
      <c r="H4" t="str">
        <f>IF('Sections List'!$B4=7,1,"")</f>
        <v/>
      </c>
      <c r="I4" t="str">
        <f>IF('Sections List'!$B4=8,1,"")</f>
        <v/>
      </c>
      <c r="J4" t="str">
        <f>IF('Sections List'!$B4=9,1,"")</f>
        <v/>
      </c>
      <c r="K4" t="str">
        <f>IF('Sections List'!$B4=10,1,"")</f>
        <v/>
      </c>
      <c r="L4" t="str">
        <f>IF('Sections List'!$B4=11,1,"")</f>
        <v/>
      </c>
      <c r="M4" t="str">
        <f>IF('Sections List'!$B4=12,1,"")</f>
        <v/>
      </c>
      <c r="N4" t="str">
        <f>IF('Sections List'!$B4=13,1,"")</f>
        <v/>
      </c>
      <c r="O4" t="str">
        <f>IF('Sections List'!$B4=14,1,"")</f>
        <v/>
      </c>
      <c r="P4" t="str">
        <f>IF('Sections List'!$B4=15,1,"")</f>
        <v/>
      </c>
      <c r="Q4" t="str">
        <f>IF('Sections List'!$B4=16,1,"")</f>
        <v/>
      </c>
      <c r="R4" t="str">
        <f>IF('Sections List'!$B4=17,1,"")</f>
        <v/>
      </c>
      <c r="S4" t="str">
        <f>IF('Sections List'!$B4=18,1,"")</f>
        <v/>
      </c>
      <c r="T4" t="str">
        <f>IF('Sections List'!$B4=19,1,"")</f>
        <v/>
      </c>
      <c r="U4" t="str">
        <f>IF('Sections List'!$B4=20,1,"")</f>
        <v/>
      </c>
      <c r="V4" t="str">
        <f>IF('Sections List'!$B4=21,1,"")</f>
        <v/>
      </c>
      <c r="W4" t="str">
        <f>IF('Sections List'!$B4=22,1,"")</f>
        <v/>
      </c>
      <c r="X4" t="str">
        <f>IF('Sections List'!$B4=23,1,"")</f>
        <v/>
      </c>
      <c r="Y4" t="str">
        <f>IF('Sections List'!$B4=24,1,"")</f>
        <v/>
      </c>
      <c r="Z4" t="str">
        <f>IF('Sections List'!$B4=25,1,"")</f>
        <v/>
      </c>
      <c r="AA4" t="str">
        <f>IF('Sections List'!$B4=26,1,"")</f>
        <v/>
      </c>
      <c r="AB4" t="str">
        <f>IF('Sections List'!$B4=27,1,"")</f>
        <v/>
      </c>
      <c r="AC4" t="str">
        <f>IF('Sections List'!$B4=28,1,"")</f>
        <v/>
      </c>
    </row>
    <row r="5" spans="1:29">
      <c r="A5" s="22">
        <f>'Sections List'!A5</f>
        <v>0</v>
      </c>
      <c r="B5" t="str">
        <f>IF('Sections List'!$B5=1,1,"")</f>
        <v/>
      </c>
      <c r="C5" t="str">
        <f>IF('Sections List'!$B5=2,1,"")</f>
        <v/>
      </c>
      <c r="D5" t="str">
        <f>IF('Sections List'!$B5=3,1,"")</f>
        <v/>
      </c>
      <c r="E5" t="str">
        <f>IF('Sections List'!$B5=4,1,"")</f>
        <v/>
      </c>
      <c r="F5" t="str">
        <f>IF('Sections List'!$B5=5,1,"")</f>
        <v/>
      </c>
      <c r="G5" t="str">
        <f>IF('Sections List'!$B5=6,1,"")</f>
        <v/>
      </c>
      <c r="H5" t="str">
        <f>IF('Sections List'!$B5=7,1,"")</f>
        <v/>
      </c>
      <c r="I5" t="str">
        <f>IF('Sections List'!$B5=8,1,"")</f>
        <v/>
      </c>
      <c r="J5" t="str">
        <f>IF('Sections List'!$B5=9,1,"")</f>
        <v/>
      </c>
      <c r="K5" t="str">
        <f>IF('Sections List'!$B5=10,1,"")</f>
        <v/>
      </c>
      <c r="L5" t="str">
        <f>IF('Sections List'!$B5=11,1,"")</f>
        <v/>
      </c>
      <c r="M5" t="str">
        <f>IF('Sections List'!$B5=12,1,"")</f>
        <v/>
      </c>
      <c r="N5" t="str">
        <f>IF('Sections List'!$B5=13,1,"")</f>
        <v/>
      </c>
      <c r="O5" t="str">
        <f>IF('Sections List'!$B5=14,1,"")</f>
        <v/>
      </c>
      <c r="P5" t="str">
        <f>IF('Sections List'!$B5=15,1,"")</f>
        <v/>
      </c>
      <c r="Q5" t="str">
        <f>IF('Sections List'!$B5=16,1,"")</f>
        <v/>
      </c>
      <c r="R5" t="str">
        <f>IF('Sections List'!$B5=17,1,"")</f>
        <v/>
      </c>
      <c r="S5" t="str">
        <f>IF('Sections List'!$B5=18,1,"")</f>
        <v/>
      </c>
      <c r="T5" t="str">
        <f>IF('Sections List'!$B5=19,1,"")</f>
        <v/>
      </c>
      <c r="U5" t="str">
        <f>IF('Sections List'!$B5=20,1,"")</f>
        <v/>
      </c>
      <c r="V5" t="str">
        <f>IF('Sections List'!$B5=21,1,"")</f>
        <v/>
      </c>
      <c r="W5" t="str">
        <f>IF('Sections List'!$B5=22,1,"")</f>
        <v/>
      </c>
      <c r="X5" t="str">
        <f>IF('Sections List'!$B5=23,1,"")</f>
        <v/>
      </c>
      <c r="Y5" t="str">
        <f>IF('Sections List'!$B5=24,1,"")</f>
        <v/>
      </c>
      <c r="Z5" t="str">
        <f>IF('Sections List'!$B5=25,1,"")</f>
        <v/>
      </c>
      <c r="AA5" t="str">
        <f>IF('Sections List'!$B5=26,1,"")</f>
        <v/>
      </c>
      <c r="AB5" t="str">
        <f>IF('Sections List'!$B5=27,1,"")</f>
        <v/>
      </c>
      <c r="AC5" t="str">
        <f>IF('Sections List'!$B5=28,1,"")</f>
        <v/>
      </c>
    </row>
    <row r="6" spans="1:29">
      <c r="A6" s="22">
        <f>'Sections List'!A6</f>
        <v>0</v>
      </c>
      <c r="B6" t="str">
        <f>IF('Sections List'!$B6=1,1,"")</f>
        <v/>
      </c>
      <c r="C6" t="str">
        <f>IF('Sections List'!$B6=2,1,"")</f>
        <v/>
      </c>
      <c r="D6" t="str">
        <f>IF('Sections List'!$B6=3,1,"")</f>
        <v/>
      </c>
      <c r="E6" t="str">
        <f>IF('Sections List'!$B6=4,1,"")</f>
        <v/>
      </c>
      <c r="F6" t="str">
        <f>IF('Sections List'!$B6=5,1,"")</f>
        <v/>
      </c>
      <c r="G6" t="str">
        <f>IF('Sections List'!$B6=6,1,"")</f>
        <v/>
      </c>
      <c r="H6" t="str">
        <f>IF('Sections List'!$B6=7,1,"")</f>
        <v/>
      </c>
      <c r="I6" t="str">
        <f>IF('Sections List'!$B6=8,1,"")</f>
        <v/>
      </c>
      <c r="J6" t="str">
        <f>IF('Sections List'!$B6=9,1,"")</f>
        <v/>
      </c>
      <c r="K6" t="str">
        <f>IF('Sections List'!$B6=10,1,"")</f>
        <v/>
      </c>
      <c r="L6" t="str">
        <f>IF('Sections List'!$B6=11,1,"")</f>
        <v/>
      </c>
      <c r="M6" t="str">
        <f>IF('Sections List'!$B6=12,1,"")</f>
        <v/>
      </c>
      <c r="N6" t="str">
        <f>IF('Sections List'!$B6=13,1,"")</f>
        <v/>
      </c>
      <c r="O6" t="str">
        <f>IF('Sections List'!$B6=14,1,"")</f>
        <v/>
      </c>
      <c r="P6" t="str">
        <f>IF('Sections List'!$B6=15,1,"")</f>
        <v/>
      </c>
      <c r="Q6" t="str">
        <f>IF('Sections List'!$B6=16,1,"")</f>
        <v/>
      </c>
      <c r="R6" t="str">
        <f>IF('Sections List'!$B6=17,1,"")</f>
        <v/>
      </c>
      <c r="S6" t="str">
        <f>IF('Sections List'!$B6=18,1,"")</f>
        <v/>
      </c>
      <c r="T6" t="str">
        <f>IF('Sections List'!$B6=19,1,"")</f>
        <v/>
      </c>
      <c r="U6" t="str">
        <f>IF('Sections List'!$B6=20,1,"")</f>
        <v/>
      </c>
      <c r="V6" t="str">
        <f>IF('Sections List'!$B6=21,1,"")</f>
        <v/>
      </c>
      <c r="W6" t="str">
        <f>IF('Sections List'!$B6=22,1,"")</f>
        <v/>
      </c>
      <c r="X6" t="str">
        <f>IF('Sections List'!$B6=23,1,"")</f>
        <v/>
      </c>
      <c r="Y6" t="str">
        <f>IF('Sections List'!$B6=24,1,"")</f>
        <v/>
      </c>
      <c r="Z6" t="str">
        <f>IF('Sections List'!$B6=25,1,"")</f>
        <v/>
      </c>
      <c r="AA6" t="str">
        <f>IF('Sections List'!$B6=26,1,"")</f>
        <v/>
      </c>
      <c r="AB6" t="str">
        <f>IF('Sections List'!$B6=27,1,"")</f>
        <v/>
      </c>
      <c r="AC6" t="str">
        <f>IF('Sections List'!$B6=28,1,"")</f>
        <v/>
      </c>
    </row>
    <row r="7" spans="1:29">
      <c r="A7" s="22">
        <f>'Sections List'!A7</f>
        <v>0</v>
      </c>
      <c r="B7" t="str">
        <f>IF('Sections List'!$B7=1,1,"")</f>
        <v/>
      </c>
      <c r="C7" t="str">
        <f>IF('Sections List'!$B7=2,1,"")</f>
        <v/>
      </c>
      <c r="D7" t="str">
        <f>IF('Sections List'!$B7=3,1,"")</f>
        <v/>
      </c>
      <c r="E7" t="str">
        <f>IF('Sections List'!$B7=4,1,"")</f>
        <v/>
      </c>
      <c r="F7" t="str">
        <f>IF('Sections List'!$B7=5,1,"")</f>
        <v/>
      </c>
      <c r="G7" t="str">
        <f>IF('Sections List'!$B7=6,1,"")</f>
        <v/>
      </c>
      <c r="H7" t="str">
        <f>IF('Sections List'!$B7=7,1,"")</f>
        <v/>
      </c>
      <c r="I7" t="str">
        <f>IF('Sections List'!$B7=8,1,"")</f>
        <v/>
      </c>
      <c r="J7" t="str">
        <f>IF('Sections List'!$B7=9,1,"")</f>
        <v/>
      </c>
      <c r="K7" t="str">
        <f>IF('Sections List'!$B7=10,1,"")</f>
        <v/>
      </c>
      <c r="L7" t="str">
        <f>IF('Sections List'!$B7=11,1,"")</f>
        <v/>
      </c>
      <c r="M7" t="str">
        <f>IF('Sections List'!$B7=12,1,"")</f>
        <v/>
      </c>
      <c r="N7" t="str">
        <f>IF('Sections List'!$B7=13,1,"")</f>
        <v/>
      </c>
      <c r="O7" t="str">
        <f>IF('Sections List'!$B7=14,1,"")</f>
        <v/>
      </c>
      <c r="P7" t="str">
        <f>IF('Sections List'!$B7=15,1,"")</f>
        <v/>
      </c>
      <c r="Q7" t="str">
        <f>IF('Sections List'!$B7=16,1,"")</f>
        <v/>
      </c>
      <c r="R7" t="str">
        <f>IF('Sections List'!$B7=17,1,"")</f>
        <v/>
      </c>
      <c r="S7" t="str">
        <f>IF('Sections List'!$B7=18,1,"")</f>
        <v/>
      </c>
      <c r="T7" t="str">
        <f>IF('Sections List'!$B7=19,1,"")</f>
        <v/>
      </c>
      <c r="U7" t="str">
        <f>IF('Sections List'!$B7=20,1,"")</f>
        <v/>
      </c>
      <c r="V7" t="str">
        <f>IF('Sections List'!$B7=21,1,"")</f>
        <v/>
      </c>
      <c r="W7" t="str">
        <f>IF('Sections List'!$B7=22,1,"")</f>
        <v/>
      </c>
      <c r="X7" t="str">
        <f>IF('Sections List'!$B7=23,1,"")</f>
        <v/>
      </c>
      <c r="Y7" t="str">
        <f>IF('Sections List'!$B7=24,1,"")</f>
        <v/>
      </c>
      <c r="Z7" t="str">
        <f>IF('Sections List'!$B7=25,1,"")</f>
        <v/>
      </c>
      <c r="AA7" t="str">
        <f>IF('Sections List'!$B7=26,1,"")</f>
        <v/>
      </c>
      <c r="AB7" t="str">
        <f>IF('Sections List'!$B7=27,1,"")</f>
        <v/>
      </c>
      <c r="AC7" t="str">
        <f>IF('Sections List'!$B7=28,1,"")</f>
        <v/>
      </c>
    </row>
    <row r="8" spans="1:29">
      <c r="A8" s="22">
        <f>'Sections List'!A8</f>
        <v>0</v>
      </c>
      <c r="B8" t="str">
        <f>IF('Sections List'!$B8=1,1,"")</f>
        <v/>
      </c>
      <c r="C8" t="str">
        <f>IF('Sections List'!$B8=2,1,"")</f>
        <v/>
      </c>
      <c r="D8" t="str">
        <f>IF('Sections List'!$B8=3,1,"")</f>
        <v/>
      </c>
      <c r="E8" t="str">
        <f>IF('Sections List'!$B8=4,1,"")</f>
        <v/>
      </c>
      <c r="F8" t="str">
        <f>IF('Sections List'!$B8=5,1,"")</f>
        <v/>
      </c>
      <c r="G8" t="str">
        <f>IF('Sections List'!$B8=6,1,"")</f>
        <v/>
      </c>
      <c r="H8" t="str">
        <f>IF('Sections List'!$B8=7,1,"")</f>
        <v/>
      </c>
      <c r="I8" t="str">
        <f>IF('Sections List'!$B8=8,1,"")</f>
        <v/>
      </c>
      <c r="J8" t="str">
        <f>IF('Sections List'!$B8=9,1,"")</f>
        <v/>
      </c>
      <c r="K8" t="str">
        <f>IF('Sections List'!$B8=10,1,"")</f>
        <v/>
      </c>
      <c r="L8" t="str">
        <f>IF('Sections List'!$B8=11,1,"")</f>
        <v/>
      </c>
      <c r="M8" t="str">
        <f>IF('Sections List'!$B8=12,1,"")</f>
        <v/>
      </c>
      <c r="N8" t="str">
        <f>IF('Sections List'!$B8=13,1,"")</f>
        <v/>
      </c>
      <c r="O8" t="str">
        <f>IF('Sections List'!$B8=14,1,"")</f>
        <v/>
      </c>
      <c r="P8" t="str">
        <f>IF('Sections List'!$B8=15,1,"")</f>
        <v/>
      </c>
      <c r="Q8" t="str">
        <f>IF('Sections List'!$B8=16,1,"")</f>
        <v/>
      </c>
      <c r="R8" t="str">
        <f>IF('Sections List'!$B8=17,1,"")</f>
        <v/>
      </c>
      <c r="S8" t="str">
        <f>IF('Sections List'!$B8=18,1,"")</f>
        <v/>
      </c>
      <c r="T8" t="str">
        <f>IF('Sections List'!$B8=19,1,"")</f>
        <v/>
      </c>
      <c r="U8" t="str">
        <f>IF('Sections List'!$B8=20,1,"")</f>
        <v/>
      </c>
      <c r="V8" t="str">
        <f>IF('Sections List'!$B8=21,1,"")</f>
        <v/>
      </c>
      <c r="W8" t="str">
        <f>IF('Sections List'!$B8=22,1,"")</f>
        <v/>
      </c>
      <c r="X8" t="str">
        <f>IF('Sections List'!$B8=23,1,"")</f>
        <v/>
      </c>
      <c r="Y8" t="str">
        <f>IF('Sections List'!$B8=24,1,"")</f>
        <v/>
      </c>
      <c r="Z8" t="str">
        <f>IF('Sections List'!$B8=25,1,"")</f>
        <v/>
      </c>
      <c r="AA8" t="str">
        <f>IF('Sections List'!$B8=26,1,"")</f>
        <v/>
      </c>
      <c r="AB8" t="str">
        <f>IF('Sections List'!$B8=27,1,"")</f>
        <v/>
      </c>
      <c r="AC8" t="str">
        <f>IF('Sections List'!$B8=28,1,"")</f>
        <v/>
      </c>
    </row>
    <row r="9" spans="1:29">
      <c r="A9" s="22">
        <f>'Sections List'!A9</f>
        <v>0</v>
      </c>
      <c r="B9" t="str">
        <f>IF('Sections List'!$B9=1,1,"")</f>
        <v/>
      </c>
      <c r="C9" t="str">
        <f>IF('Sections List'!$B9=2,1,"")</f>
        <v/>
      </c>
      <c r="D9" t="str">
        <f>IF('Sections List'!$B9=3,1,"")</f>
        <v/>
      </c>
      <c r="E9" t="str">
        <f>IF('Sections List'!$B9=4,1,"")</f>
        <v/>
      </c>
      <c r="F9" t="str">
        <f>IF('Sections List'!$B9=5,1,"")</f>
        <v/>
      </c>
      <c r="G9" t="str">
        <f>IF('Sections List'!$B9=6,1,"")</f>
        <v/>
      </c>
      <c r="H9" t="str">
        <f>IF('Sections List'!$B9=7,1,"")</f>
        <v/>
      </c>
      <c r="I9" t="str">
        <f>IF('Sections List'!$B9=8,1,"")</f>
        <v/>
      </c>
      <c r="J9" t="str">
        <f>IF('Sections List'!$B9=9,1,"")</f>
        <v/>
      </c>
      <c r="K9" t="str">
        <f>IF('Sections List'!$B9=10,1,"")</f>
        <v/>
      </c>
      <c r="L9" t="str">
        <f>IF('Sections List'!$B9=11,1,"")</f>
        <v/>
      </c>
      <c r="M9" t="str">
        <f>IF('Sections List'!$B9=12,1,"")</f>
        <v/>
      </c>
      <c r="N9" t="str">
        <f>IF('Sections List'!$B9=13,1,"")</f>
        <v/>
      </c>
      <c r="O9" t="str">
        <f>IF('Sections List'!$B9=14,1,"")</f>
        <v/>
      </c>
      <c r="P9" t="str">
        <f>IF('Sections List'!$B9=15,1,"")</f>
        <v/>
      </c>
      <c r="Q9" t="str">
        <f>IF('Sections List'!$B9=16,1,"")</f>
        <v/>
      </c>
      <c r="R9" t="str">
        <f>IF('Sections List'!$B9=17,1,"")</f>
        <v/>
      </c>
      <c r="S9" t="str">
        <f>IF('Sections List'!$B9=18,1,"")</f>
        <v/>
      </c>
      <c r="T9" t="str">
        <f>IF('Sections List'!$B9=19,1,"")</f>
        <v/>
      </c>
      <c r="U9" t="str">
        <f>IF('Sections List'!$B9=20,1,"")</f>
        <v/>
      </c>
      <c r="V9" t="str">
        <f>IF('Sections List'!$B9=21,1,"")</f>
        <v/>
      </c>
      <c r="W9" t="str">
        <f>IF('Sections List'!$B9=22,1,"")</f>
        <v/>
      </c>
      <c r="X9" t="str">
        <f>IF('Sections List'!$B9=23,1,"")</f>
        <v/>
      </c>
      <c r="Y9" t="str">
        <f>IF('Sections List'!$B9=24,1,"")</f>
        <v/>
      </c>
      <c r="Z9" t="str">
        <f>IF('Sections List'!$B9=25,1,"")</f>
        <v/>
      </c>
      <c r="AA9" t="str">
        <f>IF('Sections List'!$B9=26,1,"")</f>
        <v/>
      </c>
      <c r="AB9" t="str">
        <f>IF('Sections List'!$B9=27,1,"")</f>
        <v/>
      </c>
      <c r="AC9" t="str">
        <f>IF('Sections List'!$B9=28,1,"")</f>
        <v/>
      </c>
    </row>
    <row r="10" spans="1:29">
      <c r="A10" s="22">
        <f>'Sections List'!A10</f>
        <v>0</v>
      </c>
      <c r="B10" t="str">
        <f>IF('Sections List'!$B10=1,1,"")</f>
        <v/>
      </c>
      <c r="C10" t="str">
        <f>IF('Sections List'!$B10=2,1,"")</f>
        <v/>
      </c>
      <c r="D10" t="str">
        <f>IF('Sections List'!$B10=3,1,"")</f>
        <v/>
      </c>
      <c r="E10" t="str">
        <f>IF('Sections List'!$B10=4,1,"")</f>
        <v/>
      </c>
      <c r="F10" t="str">
        <f>IF('Sections List'!$B10=5,1,"")</f>
        <v/>
      </c>
      <c r="G10" t="str">
        <f>IF('Sections List'!$B10=6,1,"")</f>
        <v/>
      </c>
      <c r="H10" t="str">
        <f>IF('Sections List'!$B10=7,1,"")</f>
        <v/>
      </c>
      <c r="I10" t="str">
        <f>IF('Sections List'!$B10=8,1,"")</f>
        <v/>
      </c>
      <c r="J10" t="str">
        <f>IF('Sections List'!$B10=9,1,"")</f>
        <v/>
      </c>
      <c r="K10" t="str">
        <f>IF('Sections List'!$B10=10,1,"")</f>
        <v/>
      </c>
      <c r="L10" t="str">
        <f>IF('Sections List'!$B10=11,1,"")</f>
        <v/>
      </c>
      <c r="M10" t="str">
        <f>IF('Sections List'!$B10=12,1,"")</f>
        <v/>
      </c>
      <c r="N10" t="str">
        <f>IF('Sections List'!$B10=13,1,"")</f>
        <v/>
      </c>
      <c r="O10" t="str">
        <f>IF('Sections List'!$B10=14,1,"")</f>
        <v/>
      </c>
      <c r="P10" t="str">
        <f>IF('Sections List'!$B10=15,1,"")</f>
        <v/>
      </c>
      <c r="Q10" t="str">
        <f>IF('Sections List'!$B10=16,1,"")</f>
        <v/>
      </c>
      <c r="R10" t="str">
        <f>IF('Sections List'!$B10=17,1,"")</f>
        <v/>
      </c>
      <c r="S10" t="str">
        <f>IF('Sections List'!$B10=18,1,"")</f>
        <v/>
      </c>
      <c r="T10" t="str">
        <f>IF('Sections List'!$B10=19,1,"")</f>
        <v/>
      </c>
      <c r="U10" t="str">
        <f>IF('Sections List'!$B10=20,1,"")</f>
        <v/>
      </c>
      <c r="V10" t="str">
        <f>IF('Sections List'!$B10=21,1,"")</f>
        <v/>
      </c>
      <c r="W10" t="str">
        <f>IF('Sections List'!$B10=22,1,"")</f>
        <v/>
      </c>
      <c r="X10" t="str">
        <f>IF('Sections List'!$B10=23,1,"")</f>
        <v/>
      </c>
      <c r="Y10" t="str">
        <f>IF('Sections List'!$B10=24,1,"")</f>
        <v/>
      </c>
      <c r="Z10" t="str">
        <f>IF('Sections List'!$B10=25,1,"")</f>
        <v/>
      </c>
      <c r="AA10" t="str">
        <f>IF('Sections List'!$B10=26,1,"")</f>
        <v/>
      </c>
      <c r="AB10" t="str">
        <f>IF('Sections List'!$B10=27,1,"")</f>
        <v/>
      </c>
      <c r="AC10" t="str">
        <f>IF('Sections List'!$B10=28,1,"")</f>
        <v/>
      </c>
    </row>
    <row r="11" spans="1:29">
      <c r="A11" s="22">
        <f>'Sections List'!A11</f>
        <v>0</v>
      </c>
      <c r="B11" t="str">
        <f>IF('Sections List'!$B11=1,1,"")</f>
        <v/>
      </c>
      <c r="C11" t="str">
        <f>IF('Sections List'!$B11=2,1,"")</f>
        <v/>
      </c>
      <c r="D11" t="str">
        <f>IF('Sections List'!$B11=3,1,"")</f>
        <v/>
      </c>
      <c r="E11" t="str">
        <f>IF('Sections List'!$B11=4,1,"")</f>
        <v/>
      </c>
      <c r="F11" t="str">
        <f>IF('Sections List'!$B11=5,1,"")</f>
        <v/>
      </c>
      <c r="G11" t="str">
        <f>IF('Sections List'!$B11=6,1,"")</f>
        <v/>
      </c>
      <c r="H11" t="str">
        <f>IF('Sections List'!$B11=7,1,"")</f>
        <v/>
      </c>
      <c r="I11" t="str">
        <f>IF('Sections List'!$B11=8,1,"")</f>
        <v/>
      </c>
      <c r="J11" t="str">
        <f>IF('Sections List'!$B11=9,1,"")</f>
        <v/>
      </c>
      <c r="K11" t="str">
        <f>IF('Sections List'!$B11=10,1,"")</f>
        <v/>
      </c>
      <c r="L11" t="str">
        <f>IF('Sections List'!$B11=11,1,"")</f>
        <v/>
      </c>
      <c r="M11" t="str">
        <f>IF('Sections List'!$B11=12,1,"")</f>
        <v/>
      </c>
      <c r="N11" t="str">
        <f>IF('Sections List'!$B11=13,1,"")</f>
        <v/>
      </c>
      <c r="O11" t="str">
        <f>IF('Sections List'!$B11=14,1,"")</f>
        <v/>
      </c>
      <c r="P11" t="str">
        <f>IF('Sections List'!$B11=15,1,"")</f>
        <v/>
      </c>
      <c r="Q11" t="str">
        <f>IF('Sections List'!$B11=16,1,"")</f>
        <v/>
      </c>
      <c r="R11" t="str">
        <f>IF('Sections List'!$B11=17,1,"")</f>
        <v/>
      </c>
      <c r="S11" t="str">
        <f>IF('Sections List'!$B11=18,1,"")</f>
        <v/>
      </c>
      <c r="T11" t="str">
        <f>IF('Sections List'!$B11=19,1,"")</f>
        <v/>
      </c>
      <c r="U11" t="str">
        <f>IF('Sections List'!$B11=20,1,"")</f>
        <v/>
      </c>
      <c r="V11" t="str">
        <f>IF('Sections List'!$B11=21,1,"")</f>
        <v/>
      </c>
      <c r="W11" t="str">
        <f>IF('Sections List'!$B11=22,1,"")</f>
        <v/>
      </c>
      <c r="X11" t="str">
        <f>IF('Sections List'!$B11=23,1,"")</f>
        <v/>
      </c>
      <c r="Y11" t="str">
        <f>IF('Sections List'!$B11=24,1,"")</f>
        <v/>
      </c>
      <c r="Z11" t="str">
        <f>IF('Sections List'!$B11=25,1,"")</f>
        <v/>
      </c>
      <c r="AA11" t="str">
        <f>IF('Sections List'!$B11=26,1,"")</f>
        <v/>
      </c>
      <c r="AB11" t="str">
        <f>IF('Sections List'!$B11=27,1,"")</f>
        <v/>
      </c>
      <c r="AC11" t="str">
        <f>IF('Sections List'!$B11=28,1,"")</f>
        <v/>
      </c>
    </row>
    <row r="12" spans="1:29">
      <c r="A12" s="22">
        <f>'Sections List'!A12</f>
        <v>0</v>
      </c>
      <c r="B12" t="str">
        <f>IF('Sections List'!$B12=1,1,"")</f>
        <v/>
      </c>
      <c r="C12" t="str">
        <f>IF('Sections List'!$B12=2,1,"")</f>
        <v/>
      </c>
      <c r="D12" t="str">
        <f>IF('Sections List'!$B12=3,1,"")</f>
        <v/>
      </c>
      <c r="E12" t="str">
        <f>IF('Sections List'!$B12=4,1,"")</f>
        <v/>
      </c>
      <c r="F12" t="str">
        <f>IF('Sections List'!$B12=5,1,"")</f>
        <v/>
      </c>
      <c r="G12" t="str">
        <f>IF('Sections List'!$B12=6,1,"")</f>
        <v/>
      </c>
      <c r="H12" t="str">
        <f>IF('Sections List'!$B12=7,1,"")</f>
        <v/>
      </c>
      <c r="I12" t="str">
        <f>IF('Sections List'!$B12=8,1,"")</f>
        <v/>
      </c>
      <c r="J12" t="str">
        <f>IF('Sections List'!$B12=9,1,"")</f>
        <v/>
      </c>
      <c r="K12" t="str">
        <f>IF('Sections List'!$B12=10,1,"")</f>
        <v/>
      </c>
      <c r="L12" t="str">
        <f>IF('Sections List'!$B12=11,1,"")</f>
        <v/>
      </c>
      <c r="M12" t="str">
        <f>IF('Sections List'!$B12=12,1,"")</f>
        <v/>
      </c>
      <c r="N12" t="str">
        <f>IF('Sections List'!$B12=13,1,"")</f>
        <v/>
      </c>
      <c r="O12" t="str">
        <f>IF('Sections List'!$B12=14,1,"")</f>
        <v/>
      </c>
      <c r="P12" t="str">
        <f>IF('Sections List'!$B12=15,1,"")</f>
        <v/>
      </c>
      <c r="Q12" t="str">
        <f>IF('Sections List'!$B12=16,1,"")</f>
        <v/>
      </c>
      <c r="R12" t="str">
        <f>IF('Sections List'!$B12=17,1,"")</f>
        <v/>
      </c>
      <c r="S12" t="str">
        <f>IF('Sections List'!$B12=18,1,"")</f>
        <v/>
      </c>
      <c r="T12" t="str">
        <f>IF('Sections List'!$B12=19,1,"")</f>
        <v/>
      </c>
      <c r="U12" t="str">
        <f>IF('Sections List'!$B12=20,1,"")</f>
        <v/>
      </c>
      <c r="V12" t="str">
        <f>IF('Sections List'!$B12=21,1,"")</f>
        <v/>
      </c>
      <c r="W12" t="str">
        <f>IF('Sections List'!$B12=22,1,"")</f>
        <v/>
      </c>
      <c r="X12" t="str">
        <f>IF('Sections List'!$B12=23,1,"")</f>
        <v/>
      </c>
      <c r="Y12" t="str">
        <f>IF('Sections List'!$B12=24,1,"")</f>
        <v/>
      </c>
      <c r="Z12" t="str">
        <f>IF('Sections List'!$B12=25,1,"")</f>
        <v/>
      </c>
      <c r="AA12" t="str">
        <f>IF('Sections List'!$B12=26,1,"")</f>
        <v/>
      </c>
      <c r="AB12" t="str">
        <f>IF('Sections List'!$B12=27,1,"")</f>
        <v/>
      </c>
      <c r="AC12" t="str">
        <f>IF('Sections List'!$B12=28,1,"")</f>
        <v/>
      </c>
    </row>
    <row r="13" spans="1:29">
      <c r="A13" s="22">
        <f>'Sections List'!A13</f>
        <v>0</v>
      </c>
      <c r="B13" t="str">
        <f>IF('Sections List'!$B13=1,1,"")</f>
        <v/>
      </c>
      <c r="C13" t="str">
        <f>IF('Sections List'!$B13=2,1,"")</f>
        <v/>
      </c>
      <c r="D13" t="str">
        <f>IF('Sections List'!$B13=3,1,"")</f>
        <v/>
      </c>
      <c r="E13" t="str">
        <f>IF('Sections List'!$B13=4,1,"")</f>
        <v/>
      </c>
      <c r="F13" t="str">
        <f>IF('Sections List'!$B13=5,1,"")</f>
        <v/>
      </c>
      <c r="G13" t="str">
        <f>IF('Sections List'!$B13=6,1,"")</f>
        <v/>
      </c>
      <c r="H13" t="str">
        <f>IF('Sections List'!$B13=7,1,"")</f>
        <v/>
      </c>
      <c r="I13" t="str">
        <f>IF('Sections List'!$B13=8,1,"")</f>
        <v/>
      </c>
      <c r="J13" t="str">
        <f>IF('Sections List'!$B13=9,1,"")</f>
        <v/>
      </c>
      <c r="K13" t="str">
        <f>IF('Sections List'!$B13=10,1,"")</f>
        <v/>
      </c>
      <c r="L13" t="str">
        <f>IF('Sections List'!$B13=11,1,"")</f>
        <v/>
      </c>
      <c r="M13" t="str">
        <f>IF('Sections List'!$B13=12,1,"")</f>
        <v/>
      </c>
      <c r="N13" t="str">
        <f>IF('Sections List'!$B13=13,1,"")</f>
        <v/>
      </c>
      <c r="O13" t="str">
        <f>IF('Sections List'!$B13=14,1,"")</f>
        <v/>
      </c>
      <c r="P13" t="str">
        <f>IF('Sections List'!$B13=15,1,"")</f>
        <v/>
      </c>
      <c r="Q13" t="str">
        <f>IF('Sections List'!$B13=16,1,"")</f>
        <v/>
      </c>
      <c r="R13" t="str">
        <f>IF('Sections List'!$B13=17,1,"")</f>
        <v/>
      </c>
      <c r="S13" t="str">
        <f>IF('Sections List'!$B13=18,1,"")</f>
        <v/>
      </c>
      <c r="T13" t="str">
        <f>IF('Sections List'!$B13=19,1,"")</f>
        <v/>
      </c>
      <c r="U13" t="str">
        <f>IF('Sections List'!$B13=20,1,"")</f>
        <v/>
      </c>
      <c r="V13" t="str">
        <f>IF('Sections List'!$B13=21,1,"")</f>
        <v/>
      </c>
      <c r="W13" t="str">
        <f>IF('Sections List'!$B13=22,1,"")</f>
        <v/>
      </c>
      <c r="X13" t="str">
        <f>IF('Sections List'!$B13=23,1,"")</f>
        <v/>
      </c>
      <c r="Y13" t="str">
        <f>IF('Sections List'!$B13=24,1,"")</f>
        <v/>
      </c>
      <c r="Z13" t="str">
        <f>IF('Sections List'!$B13=25,1,"")</f>
        <v/>
      </c>
      <c r="AA13" t="str">
        <f>IF('Sections List'!$B13=26,1,"")</f>
        <v/>
      </c>
      <c r="AB13" t="str">
        <f>IF('Sections List'!$B13=27,1,"")</f>
        <v/>
      </c>
      <c r="AC13" t="str">
        <f>IF('Sections List'!$B13=28,1,"")</f>
        <v/>
      </c>
    </row>
    <row r="14" spans="1:29">
      <c r="A14" s="22">
        <f>'Sections List'!A14</f>
        <v>0</v>
      </c>
      <c r="B14" t="str">
        <f>IF('Sections List'!$B14=1,1,"")</f>
        <v/>
      </c>
      <c r="C14" t="str">
        <f>IF('Sections List'!$B14=2,1,"")</f>
        <v/>
      </c>
      <c r="D14" t="str">
        <f>IF('Sections List'!$B14=3,1,"")</f>
        <v/>
      </c>
      <c r="E14" t="str">
        <f>IF('Sections List'!$B14=4,1,"")</f>
        <v/>
      </c>
      <c r="F14" t="str">
        <f>IF('Sections List'!$B14=5,1,"")</f>
        <v/>
      </c>
      <c r="G14" t="str">
        <f>IF('Sections List'!$B14=6,1,"")</f>
        <v/>
      </c>
      <c r="H14" t="str">
        <f>IF('Sections List'!$B14=7,1,"")</f>
        <v/>
      </c>
      <c r="I14" t="str">
        <f>IF('Sections List'!$B14=8,1,"")</f>
        <v/>
      </c>
      <c r="J14" t="str">
        <f>IF('Sections List'!$B14=9,1,"")</f>
        <v/>
      </c>
      <c r="K14" t="str">
        <f>IF('Sections List'!$B14=10,1,"")</f>
        <v/>
      </c>
      <c r="L14" t="str">
        <f>IF('Sections List'!$B14=11,1,"")</f>
        <v/>
      </c>
      <c r="M14" t="str">
        <f>IF('Sections List'!$B14=12,1,"")</f>
        <v/>
      </c>
      <c r="N14" t="str">
        <f>IF('Sections List'!$B14=13,1,"")</f>
        <v/>
      </c>
      <c r="O14" t="str">
        <f>IF('Sections List'!$B14=14,1,"")</f>
        <v/>
      </c>
      <c r="P14" t="str">
        <f>IF('Sections List'!$B14=15,1,"")</f>
        <v/>
      </c>
      <c r="Q14" t="str">
        <f>IF('Sections List'!$B14=16,1,"")</f>
        <v/>
      </c>
      <c r="R14" t="str">
        <f>IF('Sections List'!$B14=17,1,"")</f>
        <v/>
      </c>
      <c r="S14" t="str">
        <f>IF('Sections List'!$B14=18,1,"")</f>
        <v/>
      </c>
      <c r="T14" t="str">
        <f>IF('Sections List'!$B14=19,1,"")</f>
        <v/>
      </c>
      <c r="U14" t="str">
        <f>IF('Sections List'!$B14=20,1,"")</f>
        <v/>
      </c>
      <c r="V14" t="str">
        <f>IF('Sections List'!$B14=21,1,"")</f>
        <v/>
      </c>
      <c r="W14" t="str">
        <f>IF('Sections List'!$B14=22,1,"")</f>
        <v/>
      </c>
      <c r="X14" t="str">
        <f>IF('Sections List'!$B14=23,1,"")</f>
        <v/>
      </c>
      <c r="Y14" t="str">
        <f>IF('Sections List'!$B14=24,1,"")</f>
        <v/>
      </c>
      <c r="Z14" t="str">
        <f>IF('Sections List'!$B14=25,1,"")</f>
        <v/>
      </c>
      <c r="AA14" t="str">
        <f>IF('Sections List'!$B14=26,1,"")</f>
        <v/>
      </c>
      <c r="AB14" t="str">
        <f>IF('Sections List'!$B14=27,1,"")</f>
        <v/>
      </c>
      <c r="AC14" t="str">
        <f>IF('Sections List'!$B14=28,1,"")</f>
        <v/>
      </c>
    </row>
    <row r="15" spans="1:29">
      <c r="A15" s="22">
        <f>'Sections List'!A15</f>
        <v>0</v>
      </c>
      <c r="B15" t="str">
        <f>IF('Sections List'!$B15=1,1,"")</f>
        <v/>
      </c>
      <c r="C15" t="str">
        <f>IF('Sections List'!$B15=2,1,"")</f>
        <v/>
      </c>
      <c r="D15" t="str">
        <f>IF('Sections List'!$B15=3,1,"")</f>
        <v/>
      </c>
      <c r="E15" t="str">
        <f>IF('Sections List'!$B15=4,1,"")</f>
        <v/>
      </c>
      <c r="F15" t="str">
        <f>IF('Sections List'!$B15=5,1,"")</f>
        <v/>
      </c>
      <c r="G15" t="str">
        <f>IF('Sections List'!$B15=6,1,"")</f>
        <v/>
      </c>
      <c r="H15" t="str">
        <f>IF('Sections List'!$B15=7,1,"")</f>
        <v/>
      </c>
      <c r="I15" t="str">
        <f>IF('Sections List'!$B15=8,1,"")</f>
        <v/>
      </c>
      <c r="J15" t="str">
        <f>IF('Sections List'!$B15=9,1,"")</f>
        <v/>
      </c>
      <c r="K15" t="str">
        <f>IF('Sections List'!$B15=10,1,"")</f>
        <v/>
      </c>
      <c r="L15" t="str">
        <f>IF('Sections List'!$B15=11,1,"")</f>
        <v/>
      </c>
      <c r="M15" t="str">
        <f>IF('Sections List'!$B15=12,1,"")</f>
        <v/>
      </c>
      <c r="N15" t="str">
        <f>IF('Sections List'!$B15=13,1,"")</f>
        <v/>
      </c>
      <c r="O15" t="str">
        <f>IF('Sections List'!$B15=14,1,"")</f>
        <v/>
      </c>
      <c r="P15" t="str">
        <f>IF('Sections List'!$B15=15,1,"")</f>
        <v/>
      </c>
      <c r="Q15" t="str">
        <f>IF('Sections List'!$B15=16,1,"")</f>
        <v/>
      </c>
      <c r="R15" t="str">
        <f>IF('Sections List'!$B15=17,1,"")</f>
        <v/>
      </c>
      <c r="S15" t="str">
        <f>IF('Sections List'!$B15=18,1,"")</f>
        <v/>
      </c>
      <c r="T15" t="str">
        <f>IF('Sections List'!$B15=19,1,"")</f>
        <v/>
      </c>
      <c r="U15" t="str">
        <f>IF('Sections List'!$B15=20,1,"")</f>
        <v/>
      </c>
      <c r="V15" t="str">
        <f>IF('Sections List'!$B15=21,1,"")</f>
        <v/>
      </c>
      <c r="W15" t="str">
        <f>IF('Sections List'!$B15=22,1,"")</f>
        <v/>
      </c>
      <c r="X15" t="str">
        <f>IF('Sections List'!$B15=23,1,"")</f>
        <v/>
      </c>
      <c r="Y15" t="str">
        <f>IF('Sections List'!$B15=24,1,"")</f>
        <v/>
      </c>
      <c r="Z15" t="str">
        <f>IF('Sections List'!$B15=25,1,"")</f>
        <v/>
      </c>
      <c r="AA15" t="str">
        <f>IF('Sections List'!$B15=26,1,"")</f>
        <v/>
      </c>
      <c r="AB15" t="str">
        <f>IF('Sections List'!$B15=27,1,"")</f>
        <v/>
      </c>
      <c r="AC15" t="str">
        <f>IF('Sections List'!$B15=28,1,"")</f>
        <v/>
      </c>
    </row>
    <row r="16" spans="1:29">
      <c r="A16" s="22">
        <f>'Sections List'!A16</f>
        <v>0</v>
      </c>
      <c r="B16" t="str">
        <f>IF('Sections List'!$B16=1,1,"")</f>
        <v/>
      </c>
      <c r="C16" t="str">
        <f>IF('Sections List'!$B16=2,1,"")</f>
        <v/>
      </c>
      <c r="D16" t="str">
        <f>IF('Sections List'!$B16=3,1,"")</f>
        <v/>
      </c>
      <c r="E16" t="str">
        <f>IF('Sections List'!$B16=4,1,"")</f>
        <v/>
      </c>
      <c r="F16" t="str">
        <f>IF('Sections List'!$B16=5,1,"")</f>
        <v/>
      </c>
      <c r="G16" t="str">
        <f>IF('Sections List'!$B16=6,1,"")</f>
        <v/>
      </c>
      <c r="H16" t="str">
        <f>IF('Sections List'!$B16=7,1,"")</f>
        <v/>
      </c>
      <c r="I16" t="str">
        <f>IF('Sections List'!$B16=8,1,"")</f>
        <v/>
      </c>
      <c r="J16" t="str">
        <f>IF('Sections List'!$B16=9,1,"")</f>
        <v/>
      </c>
      <c r="K16" t="str">
        <f>IF('Sections List'!$B16=10,1,"")</f>
        <v/>
      </c>
      <c r="L16" t="str">
        <f>IF('Sections List'!$B16=11,1,"")</f>
        <v/>
      </c>
      <c r="M16" t="str">
        <f>IF('Sections List'!$B16=12,1,"")</f>
        <v/>
      </c>
      <c r="N16" t="str">
        <f>IF('Sections List'!$B16=13,1,"")</f>
        <v/>
      </c>
      <c r="O16" t="str">
        <f>IF('Sections List'!$B16=14,1,"")</f>
        <v/>
      </c>
      <c r="P16" t="str">
        <f>IF('Sections List'!$B16=15,1,"")</f>
        <v/>
      </c>
      <c r="Q16" t="str">
        <f>IF('Sections List'!$B16=16,1,"")</f>
        <v/>
      </c>
      <c r="R16" t="str">
        <f>IF('Sections List'!$B16=17,1,"")</f>
        <v/>
      </c>
      <c r="S16" t="str">
        <f>IF('Sections List'!$B16=18,1,"")</f>
        <v/>
      </c>
      <c r="T16" t="str">
        <f>IF('Sections List'!$B16=19,1,"")</f>
        <v/>
      </c>
      <c r="U16" t="str">
        <f>IF('Sections List'!$B16=20,1,"")</f>
        <v/>
      </c>
      <c r="V16" t="str">
        <f>IF('Sections List'!$B16=21,1,"")</f>
        <v/>
      </c>
      <c r="W16" t="str">
        <f>IF('Sections List'!$B16=22,1,"")</f>
        <v/>
      </c>
      <c r="X16" t="str">
        <f>IF('Sections List'!$B16=23,1,"")</f>
        <v/>
      </c>
      <c r="Y16" t="str">
        <f>IF('Sections List'!$B16=24,1,"")</f>
        <v/>
      </c>
      <c r="Z16" t="str">
        <f>IF('Sections List'!$B16=25,1,"")</f>
        <v/>
      </c>
      <c r="AA16" t="str">
        <f>IF('Sections List'!$B16=26,1,"")</f>
        <v/>
      </c>
      <c r="AB16" t="str">
        <f>IF('Sections List'!$B16=27,1,"")</f>
        <v/>
      </c>
      <c r="AC16" t="str">
        <f>IF('Sections List'!$B16=28,1,"")</f>
        <v/>
      </c>
    </row>
    <row r="17" spans="1:29">
      <c r="A17" s="22">
        <f>'Sections List'!A17</f>
        <v>0</v>
      </c>
      <c r="B17" t="str">
        <f>IF('Sections List'!$B17=1,1,"")</f>
        <v/>
      </c>
      <c r="C17" t="str">
        <f>IF('Sections List'!$B17=2,1,"")</f>
        <v/>
      </c>
      <c r="D17" t="str">
        <f>IF('Sections List'!$B17=3,1,"")</f>
        <v/>
      </c>
      <c r="E17" t="str">
        <f>IF('Sections List'!$B17=4,1,"")</f>
        <v/>
      </c>
      <c r="F17" t="str">
        <f>IF('Sections List'!$B17=5,1,"")</f>
        <v/>
      </c>
      <c r="G17" t="str">
        <f>IF('Sections List'!$B17=6,1,"")</f>
        <v/>
      </c>
      <c r="H17" t="str">
        <f>IF('Sections List'!$B17=7,1,"")</f>
        <v/>
      </c>
      <c r="I17" t="str">
        <f>IF('Sections List'!$B17=8,1,"")</f>
        <v/>
      </c>
      <c r="J17" t="str">
        <f>IF('Sections List'!$B17=9,1,"")</f>
        <v/>
      </c>
      <c r="K17" t="str">
        <f>IF('Sections List'!$B17=10,1,"")</f>
        <v/>
      </c>
      <c r="L17" t="str">
        <f>IF('Sections List'!$B17=11,1,"")</f>
        <v/>
      </c>
      <c r="M17" t="str">
        <f>IF('Sections List'!$B17=12,1,"")</f>
        <v/>
      </c>
      <c r="N17" t="str">
        <f>IF('Sections List'!$B17=13,1,"")</f>
        <v/>
      </c>
      <c r="O17" t="str">
        <f>IF('Sections List'!$B17=14,1,"")</f>
        <v/>
      </c>
      <c r="P17" t="str">
        <f>IF('Sections List'!$B17=15,1,"")</f>
        <v/>
      </c>
      <c r="Q17" t="str">
        <f>IF('Sections List'!$B17=16,1,"")</f>
        <v/>
      </c>
      <c r="R17" t="str">
        <f>IF('Sections List'!$B17=17,1,"")</f>
        <v/>
      </c>
      <c r="S17" t="str">
        <f>IF('Sections List'!$B17=18,1,"")</f>
        <v/>
      </c>
      <c r="T17" t="str">
        <f>IF('Sections List'!$B17=19,1,"")</f>
        <v/>
      </c>
      <c r="U17" t="str">
        <f>IF('Sections List'!$B17=20,1,"")</f>
        <v/>
      </c>
      <c r="V17" t="str">
        <f>IF('Sections List'!$B17=21,1,"")</f>
        <v/>
      </c>
      <c r="W17" t="str">
        <f>IF('Sections List'!$B17=22,1,"")</f>
        <v/>
      </c>
      <c r="X17" t="str">
        <f>IF('Sections List'!$B17=23,1,"")</f>
        <v/>
      </c>
      <c r="Y17" t="str">
        <f>IF('Sections List'!$B17=24,1,"")</f>
        <v/>
      </c>
      <c r="Z17" t="str">
        <f>IF('Sections List'!$B17=25,1,"")</f>
        <v/>
      </c>
      <c r="AA17" t="str">
        <f>IF('Sections List'!$B17=26,1,"")</f>
        <v/>
      </c>
      <c r="AB17" t="str">
        <f>IF('Sections List'!$B17=27,1,"")</f>
        <v/>
      </c>
      <c r="AC17" t="str">
        <f>IF('Sections List'!$B17=28,1,"")</f>
        <v/>
      </c>
    </row>
    <row r="18" spans="1:29">
      <c r="A18" s="22">
        <f>'Sections List'!A18</f>
        <v>0</v>
      </c>
      <c r="B18" t="str">
        <f>IF('Sections List'!$B18=1,1,"")</f>
        <v/>
      </c>
      <c r="C18" t="str">
        <f>IF('Sections List'!$B18=2,1,"")</f>
        <v/>
      </c>
      <c r="D18" t="str">
        <f>IF('Sections List'!$B18=3,1,"")</f>
        <v/>
      </c>
      <c r="E18" t="str">
        <f>IF('Sections List'!$B18=4,1,"")</f>
        <v/>
      </c>
      <c r="F18" t="str">
        <f>IF('Sections List'!$B18=5,1,"")</f>
        <v/>
      </c>
      <c r="G18" t="str">
        <f>IF('Sections List'!$B18=6,1,"")</f>
        <v/>
      </c>
      <c r="H18" t="str">
        <f>IF('Sections List'!$B18=7,1,"")</f>
        <v/>
      </c>
      <c r="I18" t="str">
        <f>IF('Sections List'!$B18=8,1,"")</f>
        <v/>
      </c>
      <c r="J18" t="str">
        <f>IF('Sections List'!$B18=9,1,"")</f>
        <v/>
      </c>
      <c r="K18" t="str">
        <f>IF('Sections List'!$B18=10,1,"")</f>
        <v/>
      </c>
      <c r="L18" t="str">
        <f>IF('Sections List'!$B18=11,1,"")</f>
        <v/>
      </c>
      <c r="M18" t="str">
        <f>IF('Sections List'!$B18=12,1,"")</f>
        <v/>
      </c>
      <c r="N18" t="str">
        <f>IF('Sections List'!$B18=13,1,"")</f>
        <v/>
      </c>
      <c r="O18" t="str">
        <f>IF('Sections List'!$B18=14,1,"")</f>
        <v/>
      </c>
      <c r="P18" t="str">
        <f>IF('Sections List'!$B18=15,1,"")</f>
        <v/>
      </c>
      <c r="Q18" t="str">
        <f>IF('Sections List'!$B18=16,1,"")</f>
        <v/>
      </c>
      <c r="R18" t="str">
        <f>IF('Sections List'!$B18=17,1,"")</f>
        <v/>
      </c>
      <c r="S18" t="str">
        <f>IF('Sections List'!$B18=18,1,"")</f>
        <v/>
      </c>
      <c r="T18" t="str">
        <f>IF('Sections List'!$B18=19,1,"")</f>
        <v/>
      </c>
      <c r="U18" t="str">
        <f>IF('Sections List'!$B18=20,1,"")</f>
        <v/>
      </c>
      <c r="V18" t="str">
        <f>IF('Sections List'!$B18=21,1,"")</f>
        <v/>
      </c>
      <c r="W18" t="str">
        <f>IF('Sections List'!$B18=22,1,"")</f>
        <v/>
      </c>
      <c r="X18" t="str">
        <f>IF('Sections List'!$B18=23,1,"")</f>
        <v/>
      </c>
      <c r="Y18" t="str">
        <f>IF('Sections List'!$B18=24,1,"")</f>
        <v/>
      </c>
      <c r="Z18" t="str">
        <f>IF('Sections List'!$B18=25,1,"")</f>
        <v/>
      </c>
      <c r="AA18" t="str">
        <f>IF('Sections List'!$B18=26,1,"")</f>
        <v/>
      </c>
      <c r="AB18" t="str">
        <f>IF('Sections List'!$B18=27,1,"")</f>
        <v/>
      </c>
      <c r="AC18" t="str">
        <f>IF('Sections List'!$B18=28,1,"")</f>
        <v/>
      </c>
    </row>
    <row r="19" spans="1:29">
      <c r="A19" s="22">
        <f>'Sections List'!A19</f>
        <v>0</v>
      </c>
      <c r="B19" t="str">
        <f>IF('Sections List'!$B19=1,1,"")</f>
        <v/>
      </c>
      <c r="C19" t="str">
        <f>IF('Sections List'!$B19=2,1,"")</f>
        <v/>
      </c>
      <c r="D19" t="str">
        <f>IF('Sections List'!$B19=3,1,"")</f>
        <v/>
      </c>
      <c r="E19" t="str">
        <f>IF('Sections List'!$B19=4,1,"")</f>
        <v/>
      </c>
      <c r="F19" t="str">
        <f>IF('Sections List'!$B19=5,1,"")</f>
        <v/>
      </c>
      <c r="G19" t="str">
        <f>IF('Sections List'!$B19=6,1,"")</f>
        <v/>
      </c>
      <c r="H19" t="str">
        <f>IF('Sections List'!$B19=7,1,"")</f>
        <v/>
      </c>
      <c r="I19" t="str">
        <f>IF('Sections List'!$B19=8,1,"")</f>
        <v/>
      </c>
      <c r="J19" t="str">
        <f>IF('Sections List'!$B19=9,1,"")</f>
        <v/>
      </c>
      <c r="K19" t="str">
        <f>IF('Sections List'!$B19=10,1,"")</f>
        <v/>
      </c>
      <c r="L19" t="str">
        <f>IF('Sections List'!$B19=11,1,"")</f>
        <v/>
      </c>
      <c r="M19" t="str">
        <f>IF('Sections List'!$B19=12,1,"")</f>
        <v/>
      </c>
      <c r="N19" t="str">
        <f>IF('Sections List'!$B19=13,1,"")</f>
        <v/>
      </c>
      <c r="O19" t="str">
        <f>IF('Sections List'!$B19=14,1,"")</f>
        <v/>
      </c>
      <c r="P19" t="str">
        <f>IF('Sections List'!$B19=15,1,"")</f>
        <v/>
      </c>
      <c r="Q19" t="str">
        <f>IF('Sections List'!$B19=16,1,"")</f>
        <v/>
      </c>
      <c r="R19" t="str">
        <f>IF('Sections List'!$B19=17,1,"")</f>
        <v/>
      </c>
      <c r="S19" t="str">
        <f>IF('Sections List'!$B19=18,1,"")</f>
        <v/>
      </c>
      <c r="T19" t="str">
        <f>IF('Sections List'!$B19=19,1,"")</f>
        <v/>
      </c>
      <c r="U19" t="str">
        <f>IF('Sections List'!$B19=20,1,"")</f>
        <v/>
      </c>
      <c r="V19" t="str">
        <f>IF('Sections List'!$B19=21,1,"")</f>
        <v/>
      </c>
      <c r="W19" t="str">
        <f>IF('Sections List'!$B19=22,1,"")</f>
        <v/>
      </c>
      <c r="X19" t="str">
        <f>IF('Sections List'!$B19=23,1,"")</f>
        <v/>
      </c>
      <c r="Y19" t="str">
        <f>IF('Sections List'!$B19=24,1,"")</f>
        <v/>
      </c>
      <c r="Z19" t="str">
        <f>IF('Sections List'!$B19=25,1,"")</f>
        <v/>
      </c>
      <c r="AA19" t="str">
        <f>IF('Sections List'!$B19=26,1,"")</f>
        <v/>
      </c>
      <c r="AB19" t="str">
        <f>IF('Sections List'!$B19=27,1,"")</f>
        <v/>
      </c>
      <c r="AC19" t="str">
        <f>IF('Sections List'!$B19=28,1,"")</f>
        <v/>
      </c>
    </row>
    <row r="20" spans="1:29">
      <c r="A20" s="22">
        <f>'Sections List'!A20</f>
        <v>0</v>
      </c>
      <c r="B20" t="str">
        <f>IF('Sections List'!$B20=1,1,"")</f>
        <v/>
      </c>
      <c r="C20" t="str">
        <f>IF('Sections List'!$B20=2,1,"")</f>
        <v/>
      </c>
      <c r="D20" t="str">
        <f>IF('Sections List'!$B20=3,1,"")</f>
        <v/>
      </c>
      <c r="E20" t="str">
        <f>IF('Sections List'!$B20=4,1,"")</f>
        <v/>
      </c>
      <c r="F20" t="str">
        <f>IF('Sections List'!$B20=5,1,"")</f>
        <v/>
      </c>
      <c r="G20" t="str">
        <f>IF('Sections List'!$B20=6,1,"")</f>
        <v/>
      </c>
      <c r="H20" t="str">
        <f>IF('Sections List'!$B20=7,1,"")</f>
        <v/>
      </c>
      <c r="I20" t="str">
        <f>IF('Sections List'!$B20=8,1,"")</f>
        <v/>
      </c>
      <c r="J20" t="str">
        <f>IF('Sections List'!$B20=9,1,"")</f>
        <v/>
      </c>
      <c r="K20" t="str">
        <f>IF('Sections List'!$B20=10,1,"")</f>
        <v/>
      </c>
      <c r="L20" t="str">
        <f>IF('Sections List'!$B20=11,1,"")</f>
        <v/>
      </c>
      <c r="M20" t="str">
        <f>IF('Sections List'!$B20=12,1,"")</f>
        <v/>
      </c>
      <c r="N20" t="str">
        <f>IF('Sections List'!$B20=13,1,"")</f>
        <v/>
      </c>
      <c r="O20" t="str">
        <f>IF('Sections List'!$B20=14,1,"")</f>
        <v/>
      </c>
      <c r="P20" t="str">
        <f>IF('Sections List'!$B20=15,1,"")</f>
        <v/>
      </c>
      <c r="Q20" t="str">
        <f>IF('Sections List'!$B20=16,1,"")</f>
        <v/>
      </c>
      <c r="R20" t="str">
        <f>IF('Sections List'!$B20=17,1,"")</f>
        <v/>
      </c>
      <c r="S20" t="str">
        <f>IF('Sections List'!$B20=18,1,"")</f>
        <v/>
      </c>
      <c r="T20" t="str">
        <f>IF('Sections List'!$B20=19,1,"")</f>
        <v/>
      </c>
      <c r="U20" t="str">
        <f>IF('Sections List'!$B20=20,1,"")</f>
        <v/>
      </c>
      <c r="V20" t="str">
        <f>IF('Sections List'!$B20=21,1,"")</f>
        <v/>
      </c>
      <c r="W20" t="str">
        <f>IF('Sections List'!$B20=22,1,"")</f>
        <v/>
      </c>
      <c r="X20" t="str">
        <f>IF('Sections List'!$B20=23,1,"")</f>
        <v/>
      </c>
      <c r="Y20" t="str">
        <f>IF('Sections List'!$B20=24,1,"")</f>
        <v/>
      </c>
      <c r="Z20" t="str">
        <f>IF('Sections List'!$B20=25,1,"")</f>
        <v/>
      </c>
      <c r="AA20" t="str">
        <f>IF('Sections List'!$B20=26,1,"")</f>
        <v/>
      </c>
      <c r="AB20" t="str">
        <f>IF('Sections List'!$B20=27,1,"")</f>
        <v/>
      </c>
      <c r="AC20" t="str">
        <f>IF('Sections List'!$B20=28,1,"")</f>
        <v/>
      </c>
    </row>
    <row r="21" spans="1:29">
      <c r="A21" s="22">
        <f>'Sections List'!A21</f>
        <v>0</v>
      </c>
      <c r="B21" t="str">
        <f>IF('Sections List'!$B21=1,1,"")</f>
        <v/>
      </c>
      <c r="C21" t="str">
        <f>IF('Sections List'!$B21=2,1,"")</f>
        <v/>
      </c>
      <c r="D21" t="str">
        <f>IF('Sections List'!$B21=3,1,"")</f>
        <v/>
      </c>
      <c r="E21" t="str">
        <f>IF('Sections List'!$B21=4,1,"")</f>
        <v/>
      </c>
      <c r="F21" t="str">
        <f>IF('Sections List'!$B21=5,1,"")</f>
        <v/>
      </c>
      <c r="G21" t="str">
        <f>IF('Sections List'!$B21=6,1,"")</f>
        <v/>
      </c>
      <c r="H21" t="str">
        <f>IF('Sections List'!$B21=7,1,"")</f>
        <v/>
      </c>
      <c r="I21" t="str">
        <f>IF('Sections List'!$B21=8,1,"")</f>
        <v/>
      </c>
      <c r="J21" t="str">
        <f>IF('Sections List'!$B21=9,1,"")</f>
        <v/>
      </c>
      <c r="K21" t="str">
        <f>IF('Sections List'!$B21=10,1,"")</f>
        <v/>
      </c>
      <c r="L21" t="str">
        <f>IF('Sections List'!$B21=11,1,"")</f>
        <v/>
      </c>
      <c r="M21" t="str">
        <f>IF('Sections List'!$B21=12,1,"")</f>
        <v/>
      </c>
      <c r="N21" t="str">
        <f>IF('Sections List'!$B21=13,1,"")</f>
        <v/>
      </c>
      <c r="O21" t="str">
        <f>IF('Sections List'!$B21=14,1,"")</f>
        <v/>
      </c>
      <c r="P21" t="str">
        <f>IF('Sections List'!$B21=15,1,"")</f>
        <v/>
      </c>
      <c r="Q21" t="str">
        <f>IF('Sections List'!$B21=16,1,"")</f>
        <v/>
      </c>
      <c r="R21" t="str">
        <f>IF('Sections List'!$B21=17,1,"")</f>
        <v/>
      </c>
      <c r="S21" t="str">
        <f>IF('Sections List'!$B21=18,1,"")</f>
        <v/>
      </c>
      <c r="T21" t="str">
        <f>IF('Sections List'!$B21=19,1,"")</f>
        <v/>
      </c>
      <c r="U21" t="str">
        <f>IF('Sections List'!$B21=20,1,"")</f>
        <v/>
      </c>
      <c r="V21" t="str">
        <f>IF('Sections List'!$B21=21,1,"")</f>
        <v/>
      </c>
      <c r="W21" t="str">
        <f>IF('Sections List'!$B21=22,1,"")</f>
        <v/>
      </c>
      <c r="X21" t="str">
        <f>IF('Sections List'!$B21=23,1,"")</f>
        <v/>
      </c>
      <c r="Y21" t="str">
        <f>IF('Sections List'!$B21=24,1,"")</f>
        <v/>
      </c>
      <c r="Z21" t="str">
        <f>IF('Sections List'!$B21=25,1,"")</f>
        <v/>
      </c>
      <c r="AA21" t="str">
        <f>IF('Sections List'!$B21=26,1,"")</f>
        <v/>
      </c>
      <c r="AB21" t="str">
        <f>IF('Sections List'!$B21=27,1,"")</f>
        <v/>
      </c>
      <c r="AC21" t="str">
        <f>IF('Sections List'!$B21=28,1,"")</f>
        <v/>
      </c>
    </row>
    <row r="22" spans="1:29">
      <c r="A22" s="22">
        <f>'Sections List'!A22</f>
        <v>0</v>
      </c>
      <c r="B22" t="str">
        <f>IF('Sections List'!$B22=1,1,"")</f>
        <v/>
      </c>
      <c r="C22" t="str">
        <f>IF('Sections List'!$B22=2,1,"")</f>
        <v/>
      </c>
      <c r="D22" t="str">
        <f>IF('Sections List'!$B22=3,1,"")</f>
        <v/>
      </c>
      <c r="E22" t="str">
        <f>IF('Sections List'!$B22=4,1,"")</f>
        <v/>
      </c>
      <c r="F22" t="str">
        <f>IF('Sections List'!$B22=5,1,"")</f>
        <v/>
      </c>
      <c r="G22" t="str">
        <f>IF('Sections List'!$B22=6,1,"")</f>
        <v/>
      </c>
      <c r="H22" t="str">
        <f>IF('Sections List'!$B22=7,1,"")</f>
        <v/>
      </c>
      <c r="I22" t="str">
        <f>IF('Sections List'!$B22=8,1,"")</f>
        <v/>
      </c>
      <c r="J22" t="str">
        <f>IF('Sections List'!$B22=9,1,"")</f>
        <v/>
      </c>
      <c r="K22" t="str">
        <f>IF('Sections List'!$B22=10,1,"")</f>
        <v/>
      </c>
      <c r="L22" t="str">
        <f>IF('Sections List'!$B22=11,1,"")</f>
        <v/>
      </c>
      <c r="M22" t="str">
        <f>IF('Sections List'!$B22=12,1,"")</f>
        <v/>
      </c>
      <c r="N22" t="str">
        <f>IF('Sections List'!$B22=13,1,"")</f>
        <v/>
      </c>
      <c r="O22" t="str">
        <f>IF('Sections List'!$B22=14,1,"")</f>
        <v/>
      </c>
      <c r="P22" t="str">
        <f>IF('Sections List'!$B22=15,1,"")</f>
        <v/>
      </c>
      <c r="Q22" t="str">
        <f>IF('Sections List'!$B22=16,1,"")</f>
        <v/>
      </c>
      <c r="R22" t="str">
        <f>IF('Sections List'!$B22=17,1,"")</f>
        <v/>
      </c>
      <c r="S22" t="str">
        <f>IF('Sections List'!$B22=18,1,"")</f>
        <v/>
      </c>
      <c r="T22" t="str">
        <f>IF('Sections List'!$B22=19,1,"")</f>
        <v/>
      </c>
      <c r="U22" t="str">
        <f>IF('Sections List'!$B22=20,1,"")</f>
        <v/>
      </c>
      <c r="V22" t="str">
        <f>IF('Sections List'!$B22=21,1,"")</f>
        <v/>
      </c>
      <c r="W22" t="str">
        <f>IF('Sections List'!$B22=22,1,"")</f>
        <v/>
      </c>
      <c r="X22" t="str">
        <f>IF('Sections List'!$B22=23,1,"")</f>
        <v/>
      </c>
      <c r="Y22" t="str">
        <f>IF('Sections List'!$B22=24,1,"")</f>
        <v/>
      </c>
      <c r="Z22" t="str">
        <f>IF('Sections List'!$B22=25,1,"")</f>
        <v/>
      </c>
      <c r="AA22" t="str">
        <f>IF('Sections List'!$B22=26,1,"")</f>
        <v/>
      </c>
      <c r="AB22" t="str">
        <f>IF('Sections List'!$B22=27,1,"")</f>
        <v/>
      </c>
      <c r="AC22" t="str">
        <f>IF('Sections List'!$B22=28,1,"")</f>
        <v/>
      </c>
    </row>
    <row r="23" spans="1:29">
      <c r="A23" s="22">
        <f>'Sections List'!A23</f>
        <v>0</v>
      </c>
      <c r="B23" t="str">
        <f>IF('Sections List'!$B23=1,1,"")</f>
        <v/>
      </c>
      <c r="C23" t="str">
        <f>IF('Sections List'!$B23=2,1,"")</f>
        <v/>
      </c>
      <c r="D23" t="str">
        <f>IF('Sections List'!$B23=3,1,"")</f>
        <v/>
      </c>
      <c r="E23" t="str">
        <f>IF('Sections List'!$B23=4,1,"")</f>
        <v/>
      </c>
      <c r="F23" t="str">
        <f>IF('Sections List'!$B23=5,1,"")</f>
        <v/>
      </c>
      <c r="G23" t="str">
        <f>IF('Sections List'!$B23=6,1,"")</f>
        <v/>
      </c>
      <c r="H23" t="str">
        <f>IF('Sections List'!$B23=7,1,"")</f>
        <v/>
      </c>
      <c r="I23" t="str">
        <f>IF('Sections List'!$B23=8,1,"")</f>
        <v/>
      </c>
      <c r="J23" t="str">
        <f>IF('Sections List'!$B23=9,1,"")</f>
        <v/>
      </c>
      <c r="K23" t="str">
        <f>IF('Sections List'!$B23=10,1,"")</f>
        <v/>
      </c>
      <c r="L23" t="str">
        <f>IF('Sections List'!$B23=11,1,"")</f>
        <v/>
      </c>
      <c r="M23" t="str">
        <f>IF('Sections List'!$B23=12,1,"")</f>
        <v/>
      </c>
      <c r="N23" t="str">
        <f>IF('Sections List'!$B23=13,1,"")</f>
        <v/>
      </c>
      <c r="O23" t="str">
        <f>IF('Sections List'!$B23=14,1,"")</f>
        <v/>
      </c>
      <c r="P23" t="str">
        <f>IF('Sections List'!$B23=15,1,"")</f>
        <v/>
      </c>
      <c r="Q23" t="str">
        <f>IF('Sections List'!$B23=16,1,"")</f>
        <v/>
      </c>
      <c r="R23" t="str">
        <f>IF('Sections List'!$B23=17,1,"")</f>
        <v/>
      </c>
      <c r="S23" t="str">
        <f>IF('Sections List'!$B23=18,1,"")</f>
        <v/>
      </c>
      <c r="T23" t="str">
        <f>IF('Sections List'!$B23=19,1,"")</f>
        <v/>
      </c>
      <c r="U23" t="str">
        <f>IF('Sections List'!$B23=20,1,"")</f>
        <v/>
      </c>
      <c r="V23" t="str">
        <f>IF('Sections List'!$B23=21,1,"")</f>
        <v/>
      </c>
      <c r="W23" t="str">
        <f>IF('Sections List'!$B23=22,1,"")</f>
        <v/>
      </c>
      <c r="X23" t="str">
        <f>IF('Sections List'!$B23=23,1,"")</f>
        <v/>
      </c>
      <c r="Y23" t="str">
        <f>IF('Sections List'!$B23=24,1,"")</f>
        <v/>
      </c>
      <c r="Z23" t="str">
        <f>IF('Sections List'!$B23=25,1,"")</f>
        <v/>
      </c>
      <c r="AA23" t="str">
        <f>IF('Sections List'!$B23=26,1,"")</f>
        <v/>
      </c>
      <c r="AB23" t="str">
        <f>IF('Sections List'!$B23=27,1,"")</f>
        <v/>
      </c>
      <c r="AC23" t="str">
        <f>IF('Sections List'!$B23=28,1,"")</f>
        <v/>
      </c>
    </row>
    <row r="24" spans="1:29">
      <c r="A24" s="22">
        <f>'Sections List'!A24</f>
        <v>0</v>
      </c>
      <c r="B24" t="str">
        <f>IF('Sections List'!$B24=1,1,"")</f>
        <v/>
      </c>
      <c r="C24" t="str">
        <f>IF('Sections List'!$B24=2,1,"")</f>
        <v/>
      </c>
      <c r="D24" t="str">
        <f>IF('Sections List'!$B24=3,1,"")</f>
        <v/>
      </c>
      <c r="E24" t="str">
        <f>IF('Sections List'!$B24=4,1,"")</f>
        <v/>
      </c>
      <c r="F24" t="str">
        <f>IF('Sections List'!$B24=5,1,"")</f>
        <v/>
      </c>
      <c r="G24" t="str">
        <f>IF('Sections List'!$B24=6,1,"")</f>
        <v/>
      </c>
      <c r="H24" t="str">
        <f>IF('Sections List'!$B24=7,1,"")</f>
        <v/>
      </c>
      <c r="I24" t="str">
        <f>IF('Sections List'!$B24=8,1,"")</f>
        <v/>
      </c>
      <c r="J24" t="str">
        <f>IF('Sections List'!$B24=9,1,"")</f>
        <v/>
      </c>
      <c r="K24" t="str">
        <f>IF('Sections List'!$B24=10,1,"")</f>
        <v/>
      </c>
      <c r="L24" t="str">
        <f>IF('Sections List'!$B24=11,1,"")</f>
        <v/>
      </c>
      <c r="M24" t="str">
        <f>IF('Sections List'!$B24=12,1,"")</f>
        <v/>
      </c>
      <c r="N24" t="str">
        <f>IF('Sections List'!$B24=13,1,"")</f>
        <v/>
      </c>
      <c r="O24" t="str">
        <f>IF('Sections List'!$B24=14,1,"")</f>
        <v/>
      </c>
      <c r="P24" t="str">
        <f>IF('Sections List'!$B24=15,1,"")</f>
        <v/>
      </c>
      <c r="Q24" t="str">
        <f>IF('Sections List'!$B24=16,1,"")</f>
        <v/>
      </c>
      <c r="R24" t="str">
        <f>IF('Sections List'!$B24=17,1,"")</f>
        <v/>
      </c>
      <c r="S24" t="str">
        <f>IF('Sections List'!$B24=18,1,"")</f>
        <v/>
      </c>
      <c r="T24" t="str">
        <f>IF('Sections List'!$B24=19,1,"")</f>
        <v/>
      </c>
      <c r="U24" t="str">
        <f>IF('Sections List'!$B24=20,1,"")</f>
        <v/>
      </c>
      <c r="V24" t="str">
        <f>IF('Sections List'!$B24=21,1,"")</f>
        <v/>
      </c>
      <c r="W24" t="str">
        <f>IF('Sections List'!$B24=22,1,"")</f>
        <v/>
      </c>
      <c r="X24" t="str">
        <f>IF('Sections List'!$B24=23,1,"")</f>
        <v/>
      </c>
      <c r="Y24" t="str">
        <f>IF('Sections List'!$B24=24,1,"")</f>
        <v/>
      </c>
      <c r="Z24" t="str">
        <f>IF('Sections List'!$B24=25,1,"")</f>
        <v/>
      </c>
      <c r="AA24" t="str">
        <f>IF('Sections List'!$B24=26,1,"")</f>
        <v/>
      </c>
      <c r="AB24" t="str">
        <f>IF('Sections List'!$B24=27,1,"")</f>
        <v/>
      </c>
      <c r="AC24" t="str">
        <f>IF('Sections List'!$B24=28,1,"")</f>
        <v/>
      </c>
    </row>
    <row r="25" spans="1:29">
      <c r="A25" s="22">
        <f>'Sections List'!A25</f>
        <v>0</v>
      </c>
      <c r="B25" t="str">
        <f>IF('Sections List'!$B25=1,1,"")</f>
        <v/>
      </c>
      <c r="C25" t="str">
        <f>IF('Sections List'!$B25=2,1,"")</f>
        <v/>
      </c>
      <c r="D25" t="str">
        <f>IF('Sections List'!$B25=3,1,"")</f>
        <v/>
      </c>
      <c r="E25" t="str">
        <f>IF('Sections List'!$B25=4,1,"")</f>
        <v/>
      </c>
      <c r="F25" t="str">
        <f>IF('Sections List'!$B25=5,1,"")</f>
        <v/>
      </c>
      <c r="G25" t="str">
        <f>IF('Sections List'!$B25=6,1,"")</f>
        <v/>
      </c>
      <c r="H25" t="str">
        <f>IF('Sections List'!$B25=7,1,"")</f>
        <v/>
      </c>
      <c r="I25" t="str">
        <f>IF('Sections List'!$B25=8,1,"")</f>
        <v/>
      </c>
      <c r="J25" t="str">
        <f>IF('Sections List'!$B25=9,1,"")</f>
        <v/>
      </c>
      <c r="K25" t="str">
        <f>IF('Sections List'!$B25=10,1,"")</f>
        <v/>
      </c>
      <c r="L25" t="str">
        <f>IF('Sections List'!$B25=11,1,"")</f>
        <v/>
      </c>
      <c r="M25" t="str">
        <f>IF('Sections List'!$B25=12,1,"")</f>
        <v/>
      </c>
      <c r="N25" t="str">
        <f>IF('Sections List'!$B25=13,1,"")</f>
        <v/>
      </c>
      <c r="O25" t="str">
        <f>IF('Sections List'!$B25=14,1,"")</f>
        <v/>
      </c>
      <c r="P25" t="str">
        <f>IF('Sections List'!$B25=15,1,"")</f>
        <v/>
      </c>
      <c r="Q25" t="str">
        <f>IF('Sections List'!$B25=16,1,"")</f>
        <v/>
      </c>
      <c r="R25" t="str">
        <f>IF('Sections List'!$B25=17,1,"")</f>
        <v/>
      </c>
      <c r="S25" t="str">
        <f>IF('Sections List'!$B25=18,1,"")</f>
        <v/>
      </c>
      <c r="T25" t="str">
        <f>IF('Sections List'!$B25=19,1,"")</f>
        <v/>
      </c>
      <c r="U25" t="str">
        <f>IF('Sections List'!$B25=20,1,"")</f>
        <v/>
      </c>
      <c r="V25" t="str">
        <f>IF('Sections List'!$B25=21,1,"")</f>
        <v/>
      </c>
      <c r="W25" t="str">
        <f>IF('Sections List'!$B25=22,1,"")</f>
        <v/>
      </c>
      <c r="X25" t="str">
        <f>IF('Sections List'!$B25=23,1,"")</f>
        <v/>
      </c>
      <c r="Y25" t="str">
        <f>IF('Sections List'!$B25=24,1,"")</f>
        <v/>
      </c>
      <c r="Z25" t="str">
        <f>IF('Sections List'!$B25=25,1,"")</f>
        <v/>
      </c>
      <c r="AA25" t="str">
        <f>IF('Sections List'!$B25=26,1,"")</f>
        <v/>
      </c>
      <c r="AB25" t="str">
        <f>IF('Sections List'!$B25=27,1,"")</f>
        <v/>
      </c>
      <c r="AC25" t="str">
        <f>IF('Sections List'!$B25=28,1,"")</f>
        <v/>
      </c>
    </row>
    <row r="26" spans="1:29">
      <c r="A26" s="22">
        <f>'Sections List'!A26</f>
        <v>0</v>
      </c>
      <c r="B26" t="str">
        <f>IF('Sections List'!$B26=1,1,"")</f>
        <v/>
      </c>
      <c r="C26" t="str">
        <f>IF('Sections List'!$B26=2,1,"")</f>
        <v/>
      </c>
      <c r="D26" t="str">
        <f>IF('Sections List'!$B26=3,1,"")</f>
        <v/>
      </c>
      <c r="E26" t="str">
        <f>IF('Sections List'!$B26=4,1,"")</f>
        <v/>
      </c>
      <c r="F26" t="str">
        <f>IF('Sections List'!$B26=5,1,"")</f>
        <v/>
      </c>
      <c r="G26" t="str">
        <f>IF('Sections List'!$B26=6,1,"")</f>
        <v/>
      </c>
      <c r="H26" t="str">
        <f>IF('Sections List'!$B26=7,1,"")</f>
        <v/>
      </c>
      <c r="I26" t="str">
        <f>IF('Sections List'!$B26=8,1,"")</f>
        <v/>
      </c>
      <c r="J26" t="str">
        <f>IF('Sections List'!$B26=9,1,"")</f>
        <v/>
      </c>
      <c r="K26" t="str">
        <f>IF('Sections List'!$B26=10,1,"")</f>
        <v/>
      </c>
      <c r="L26" t="str">
        <f>IF('Sections List'!$B26=11,1,"")</f>
        <v/>
      </c>
      <c r="M26" t="str">
        <f>IF('Sections List'!$B26=12,1,"")</f>
        <v/>
      </c>
      <c r="N26" t="str">
        <f>IF('Sections List'!$B26=13,1,"")</f>
        <v/>
      </c>
      <c r="O26" t="str">
        <f>IF('Sections List'!$B26=14,1,"")</f>
        <v/>
      </c>
      <c r="P26" t="str">
        <f>IF('Sections List'!$B26=15,1,"")</f>
        <v/>
      </c>
      <c r="Q26" t="str">
        <f>IF('Sections List'!$B26=16,1,"")</f>
        <v/>
      </c>
      <c r="R26" t="str">
        <f>IF('Sections List'!$B26=17,1,"")</f>
        <v/>
      </c>
      <c r="S26" t="str">
        <f>IF('Sections List'!$B26=18,1,"")</f>
        <v/>
      </c>
      <c r="T26" t="str">
        <f>IF('Sections List'!$B26=19,1,"")</f>
        <v/>
      </c>
      <c r="U26" t="str">
        <f>IF('Sections List'!$B26=20,1,"")</f>
        <v/>
      </c>
      <c r="V26" t="str">
        <f>IF('Sections List'!$B26=21,1,"")</f>
        <v/>
      </c>
      <c r="W26" t="str">
        <f>IF('Sections List'!$B26=22,1,"")</f>
        <v/>
      </c>
      <c r="X26" t="str">
        <f>IF('Sections List'!$B26=23,1,"")</f>
        <v/>
      </c>
      <c r="Y26" t="str">
        <f>IF('Sections List'!$B26=24,1,"")</f>
        <v/>
      </c>
      <c r="Z26" t="str">
        <f>IF('Sections List'!$B26=25,1,"")</f>
        <v/>
      </c>
      <c r="AA26" t="str">
        <f>IF('Sections List'!$B26=26,1,"")</f>
        <v/>
      </c>
      <c r="AB26" t="str">
        <f>IF('Sections List'!$B26=27,1,"")</f>
        <v/>
      </c>
      <c r="AC26" t="str">
        <f>IF('Sections List'!$B26=28,1,"")</f>
        <v/>
      </c>
    </row>
    <row r="27" spans="1:29">
      <c r="A27" s="22">
        <f>'Sections List'!A27</f>
        <v>0</v>
      </c>
      <c r="B27" t="str">
        <f>IF('Sections List'!$B27=1,1,"")</f>
        <v/>
      </c>
      <c r="C27" t="str">
        <f>IF('Sections List'!$B27=2,1,"")</f>
        <v/>
      </c>
      <c r="D27" t="str">
        <f>IF('Sections List'!$B27=3,1,"")</f>
        <v/>
      </c>
      <c r="E27" t="str">
        <f>IF('Sections List'!$B27=4,1,"")</f>
        <v/>
      </c>
      <c r="F27" t="str">
        <f>IF('Sections List'!$B27=5,1,"")</f>
        <v/>
      </c>
      <c r="G27" t="str">
        <f>IF('Sections List'!$B27=6,1,"")</f>
        <v/>
      </c>
      <c r="H27" t="str">
        <f>IF('Sections List'!$B27=7,1,"")</f>
        <v/>
      </c>
      <c r="I27" t="str">
        <f>IF('Sections List'!$B27=8,1,"")</f>
        <v/>
      </c>
      <c r="J27" t="str">
        <f>IF('Sections List'!$B27=9,1,"")</f>
        <v/>
      </c>
      <c r="K27" t="str">
        <f>IF('Sections List'!$B27=10,1,"")</f>
        <v/>
      </c>
      <c r="L27" t="str">
        <f>IF('Sections List'!$B27=11,1,"")</f>
        <v/>
      </c>
      <c r="M27" t="str">
        <f>IF('Sections List'!$B27=12,1,"")</f>
        <v/>
      </c>
      <c r="N27" t="str">
        <f>IF('Sections List'!$B27=13,1,"")</f>
        <v/>
      </c>
      <c r="O27" t="str">
        <f>IF('Sections List'!$B27=14,1,"")</f>
        <v/>
      </c>
      <c r="P27" t="str">
        <f>IF('Sections List'!$B27=15,1,"")</f>
        <v/>
      </c>
      <c r="Q27" t="str">
        <f>IF('Sections List'!$B27=16,1,"")</f>
        <v/>
      </c>
      <c r="R27" t="str">
        <f>IF('Sections List'!$B27=17,1,"")</f>
        <v/>
      </c>
      <c r="S27" t="str">
        <f>IF('Sections List'!$B27=18,1,"")</f>
        <v/>
      </c>
      <c r="T27" t="str">
        <f>IF('Sections List'!$B27=19,1,"")</f>
        <v/>
      </c>
      <c r="U27" t="str">
        <f>IF('Sections List'!$B27=20,1,"")</f>
        <v/>
      </c>
      <c r="V27" t="str">
        <f>IF('Sections List'!$B27=21,1,"")</f>
        <v/>
      </c>
      <c r="W27" t="str">
        <f>IF('Sections List'!$B27=22,1,"")</f>
        <v/>
      </c>
      <c r="X27" t="str">
        <f>IF('Sections List'!$B27=23,1,"")</f>
        <v/>
      </c>
      <c r="Y27" t="str">
        <f>IF('Sections List'!$B27=24,1,"")</f>
        <v/>
      </c>
      <c r="Z27" t="str">
        <f>IF('Sections List'!$B27=25,1,"")</f>
        <v/>
      </c>
      <c r="AA27" t="str">
        <f>IF('Sections List'!$B27=26,1,"")</f>
        <v/>
      </c>
      <c r="AB27" t="str">
        <f>IF('Sections List'!$B27=27,1,"")</f>
        <v/>
      </c>
      <c r="AC27" t="str">
        <f>IF('Sections List'!$B27=28,1,"")</f>
        <v/>
      </c>
    </row>
    <row r="28" spans="1:29">
      <c r="A28" s="22">
        <f>'Sections List'!A28</f>
        <v>0</v>
      </c>
      <c r="B28" t="str">
        <f>IF('Sections List'!$B28=1,1,"")</f>
        <v/>
      </c>
      <c r="C28" t="str">
        <f>IF('Sections List'!$B28=2,1,"")</f>
        <v/>
      </c>
      <c r="D28" t="str">
        <f>IF('Sections List'!$B28=3,1,"")</f>
        <v/>
      </c>
      <c r="E28" t="str">
        <f>IF('Sections List'!$B28=4,1,"")</f>
        <v/>
      </c>
      <c r="F28" t="str">
        <f>IF('Sections List'!$B28=5,1,"")</f>
        <v/>
      </c>
      <c r="G28" t="str">
        <f>IF('Sections List'!$B28=6,1,"")</f>
        <v/>
      </c>
      <c r="H28" t="str">
        <f>IF('Sections List'!$B28=7,1,"")</f>
        <v/>
      </c>
      <c r="I28" t="str">
        <f>IF('Sections List'!$B28=8,1,"")</f>
        <v/>
      </c>
      <c r="J28" t="str">
        <f>IF('Sections List'!$B28=9,1,"")</f>
        <v/>
      </c>
      <c r="K28" t="str">
        <f>IF('Sections List'!$B28=10,1,"")</f>
        <v/>
      </c>
      <c r="L28" t="str">
        <f>IF('Sections List'!$B28=11,1,"")</f>
        <v/>
      </c>
      <c r="M28" t="str">
        <f>IF('Sections List'!$B28=12,1,"")</f>
        <v/>
      </c>
      <c r="N28" t="str">
        <f>IF('Sections List'!$B28=13,1,"")</f>
        <v/>
      </c>
      <c r="O28" t="str">
        <f>IF('Sections List'!$B28=14,1,"")</f>
        <v/>
      </c>
      <c r="P28" t="str">
        <f>IF('Sections List'!$B28=15,1,"")</f>
        <v/>
      </c>
      <c r="Q28" t="str">
        <f>IF('Sections List'!$B28=16,1,"")</f>
        <v/>
      </c>
      <c r="R28" t="str">
        <f>IF('Sections List'!$B28=17,1,"")</f>
        <v/>
      </c>
      <c r="S28" t="str">
        <f>IF('Sections List'!$B28=18,1,"")</f>
        <v/>
      </c>
      <c r="T28" t="str">
        <f>IF('Sections List'!$B28=19,1,"")</f>
        <v/>
      </c>
      <c r="U28" t="str">
        <f>IF('Sections List'!$B28=20,1,"")</f>
        <v/>
      </c>
      <c r="V28" t="str">
        <f>IF('Sections List'!$B28=21,1,"")</f>
        <v/>
      </c>
      <c r="W28" t="str">
        <f>IF('Sections List'!$B28=22,1,"")</f>
        <v/>
      </c>
      <c r="X28" t="str">
        <f>IF('Sections List'!$B28=23,1,"")</f>
        <v/>
      </c>
      <c r="Y28" t="str">
        <f>IF('Sections List'!$B28=24,1,"")</f>
        <v/>
      </c>
      <c r="Z28" t="str">
        <f>IF('Sections List'!$B28=25,1,"")</f>
        <v/>
      </c>
      <c r="AA28" t="str">
        <f>IF('Sections List'!$B28=26,1,"")</f>
        <v/>
      </c>
      <c r="AB28" t="str">
        <f>IF('Sections List'!$B28=27,1,"")</f>
        <v/>
      </c>
      <c r="AC28" t="str">
        <f>IF('Sections List'!$B28=28,1,"")</f>
        <v/>
      </c>
    </row>
    <row r="29" spans="1:29">
      <c r="A29" s="22">
        <f>'Sections List'!A29</f>
        <v>0</v>
      </c>
      <c r="B29" t="str">
        <f>IF('Sections List'!$B29=1,1,"")</f>
        <v/>
      </c>
      <c r="C29" t="str">
        <f>IF('Sections List'!$B29=2,1,"")</f>
        <v/>
      </c>
      <c r="D29" t="str">
        <f>IF('Sections List'!$B29=3,1,"")</f>
        <v/>
      </c>
      <c r="E29" t="str">
        <f>IF('Sections List'!$B29=4,1,"")</f>
        <v/>
      </c>
      <c r="F29" t="str">
        <f>IF('Sections List'!$B29=5,1,"")</f>
        <v/>
      </c>
      <c r="G29" t="str">
        <f>IF('Sections List'!$B29=6,1,"")</f>
        <v/>
      </c>
      <c r="H29" t="str">
        <f>IF('Sections List'!$B29=7,1,"")</f>
        <v/>
      </c>
      <c r="I29" t="str">
        <f>IF('Sections List'!$B29=8,1,"")</f>
        <v/>
      </c>
      <c r="J29" t="str">
        <f>IF('Sections List'!$B29=9,1,"")</f>
        <v/>
      </c>
      <c r="K29" t="str">
        <f>IF('Sections List'!$B29=10,1,"")</f>
        <v/>
      </c>
      <c r="L29" t="str">
        <f>IF('Sections List'!$B29=11,1,"")</f>
        <v/>
      </c>
      <c r="M29" t="str">
        <f>IF('Sections List'!$B29=12,1,"")</f>
        <v/>
      </c>
      <c r="N29" t="str">
        <f>IF('Sections List'!$B29=13,1,"")</f>
        <v/>
      </c>
      <c r="O29" t="str">
        <f>IF('Sections List'!$B29=14,1,"")</f>
        <v/>
      </c>
      <c r="P29" t="str">
        <f>IF('Sections List'!$B29=15,1,"")</f>
        <v/>
      </c>
      <c r="Q29" t="str">
        <f>IF('Sections List'!$B29=16,1,"")</f>
        <v/>
      </c>
      <c r="R29" t="str">
        <f>IF('Sections List'!$B29=17,1,"")</f>
        <v/>
      </c>
      <c r="S29" t="str">
        <f>IF('Sections List'!$B29=18,1,"")</f>
        <v/>
      </c>
      <c r="T29" t="str">
        <f>IF('Sections List'!$B29=19,1,"")</f>
        <v/>
      </c>
      <c r="U29" t="str">
        <f>IF('Sections List'!$B29=20,1,"")</f>
        <v/>
      </c>
      <c r="V29" t="str">
        <f>IF('Sections List'!$B29=21,1,"")</f>
        <v/>
      </c>
      <c r="W29" t="str">
        <f>IF('Sections List'!$B29=22,1,"")</f>
        <v/>
      </c>
      <c r="X29" t="str">
        <f>IF('Sections List'!$B29=23,1,"")</f>
        <v/>
      </c>
      <c r="Y29" t="str">
        <f>IF('Sections List'!$B29=24,1,"")</f>
        <v/>
      </c>
      <c r="Z29" t="str">
        <f>IF('Sections List'!$B29=25,1,"")</f>
        <v/>
      </c>
      <c r="AA29" t="str">
        <f>IF('Sections List'!$B29=26,1,"")</f>
        <v/>
      </c>
      <c r="AB29" t="str">
        <f>IF('Sections List'!$B29=27,1,"")</f>
        <v/>
      </c>
      <c r="AC29" t="str">
        <f>IF('Sections List'!$B29=28,1,"")</f>
        <v/>
      </c>
    </row>
    <row r="30" spans="1:29">
      <c r="A30" s="22">
        <f>'Sections List'!A30</f>
        <v>0</v>
      </c>
      <c r="B30" t="str">
        <f>IF('Sections List'!$B30=1,1,"")</f>
        <v/>
      </c>
      <c r="C30" t="str">
        <f>IF('Sections List'!$B30=2,1,"")</f>
        <v/>
      </c>
      <c r="D30" t="str">
        <f>IF('Sections List'!$B30=3,1,"")</f>
        <v/>
      </c>
      <c r="E30" t="str">
        <f>IF('Sections List'!$B30=4,1,"")</f>
        <v/>
      </c>
      <c r="F30" t="str">
        <f>IF('Sections List'!$B30=5,1,"")</f>
        <v/>
      </c>
      <c r="G30" t="str">
        <f>IF('Sections List'!$B30=6,1,"")</f>
        <v/>
      </c>
      <c r="H30" t="str">
        <f>IF('Sections List'!$B30=7,1,"")</f>
        <v/>
      </c>
      <c r="I30" t="str">
        <f>IF('Sections List'!$B30=8,1,"")</f>
        <v/>
      </c>
      <c r="J30" t="str">
        <f>IF('Sections List'!$B30=9,1,"")</f>
        <v/>
      </c>
      <c r="K30" t="str">
        <f>IF('Sections List'!$B30=10,1,"")</f>
        <v/>
      </c>
      <c r="L30" t="str">
        <f>IF('Sections List'!$B30=11,1,"")</f>
        <v/>
      </c>
      <c r="M30" t="str">
        <f>IF('Sections List'!$B30=12,1,"")</f>
        <v/>
      </c>
      <c r="N30" t="str">
        <f>IF('Sections List'!$B30=13,1,"")</f>
        <v/>
      </c>
      <c r="O30" t="str">
        <f>IF('Sections List'!$B30=14,1,"")</f>
        <v/>
      </c>
      <c r="P30" t="str">
        <f>IF('Sections List'!$B30=15,1,"")</f>
        <v/>
      </c>
      <c r="Q30" t="str">
        <f>IF('Sections List'!$B30=16,1,"")</f>
        <v/>
      </c>
      <c r="R30" t="str">
        <f>IF('Sections List'!$B30=17,1,"")</f>
        <v/>
      </c>
      <c r="S30" t="str">
        <f>IF('Sections List'!$B30=18,1,"")</f>
        <v/>
      </c>
      <c r="T30" t="str">
        <f>IF('Sections List'!$B30=19,1,"")</f>
        <v/>
      </c>
      <c r="U30" t="str">
        <f>IF('Sections List'!$B30=20,1,"")</f>
        <v/>
      </c>
      <c r="V30" t="str">
        <f>IF('Sections List'!$B30=21,1,"")</f>
        <v/>
      </c>
      <c r="W30" t="str">
        <f>IF('Sections List'!$B30=22,1,"")</f>
        <v/>
      </c>
      <c r="X30" t="str">
        <f>IF('Sections List'!$B30=23,1,"")</f>
        <v/>
      </c>
      <c r="Y30" t="str">
        <f>IF('Sections List'!$B30=24,1,"")</f>
        <v/>
      </c>
      <c r="Z30" t="str">
        <f>IF('Sections List'!$B30=25,1,"")</f>
        <v/>
      </c>
      <c r="AA30" t="str">
        <f>IF('Sections List'!$B30=26,1,"")</f>
        <v/>
      </c>
      <c r="AB30" t="str">
        <f>IF('Sections List'!$B30=27,1,"")</f>
        <v/>
      </c>
      <c r="AC30" t="str">
        <f>IF('Sections List'!$B30=28,1,"")</f>
        <v/>
      </c>
    </row>
    <row r="31" spans="1:29">
      <c r="A31" s="22">
        <f>'Sections List'!A31</f>
        <v>0</v>
      </c>
      <c r="B31" t="str">
        <f>IF('Sections List'!$B31=1,1,"")</f>
        <v/>
      </c>
      <c r="C31" t="str">
        <f>IF('Sections List'!$B31=2,1,"")</f>
        <v/>
      </c>
      <c r="D31" t="str">
        <f>IF('Sections List'!$B31=3,1,"")</f>
        <v/>
      </c>
      <c r="E31" t="str">
        <f>IF('Sections List'!$B31=4,1,"")</f>
        <v/>
      </c>
      <c r="F31" t="str">
        <f>IF('Sections List'!$B31=5,1,"")</f>
        <v/>
      </c>
      <c r="G31" t="str">
        <f>IF('Sections List'!$B31=6,1,"")</f>
        <v/>
      </c>
      <c r="H31" t="str">
        <f>IF('Sections List'!$B31=7,1,"")</f>
        <v/>
      </c>
      <c r="I31" t="str">
        <f>IF('Sections List'!$B31=8,1,"")</f>
        <v/>
      </c>
      <c r="J31" t="str">
        <f>IF('Sections List'!$B31=9,1,"")</f>
        <v/>
      </c>
      <c r="K31" t="str">
        <f>IF('Sections List'!$B31=10,1,"")</f>
        <v/>
      </c>
      <c r="L31" t="str">
        <f>IF('Sections List'!$B31=11,1,"")</f>
        <v/>
      </c>
      <c r="M31" t="str">
        <f>IF('Sections List'!$B31=12,1,"")</f>
        <v/>
      </c>
      <c r="N31" t="str">
        <f>IF('Sections List'!$B31=13,1,"")</f>
        <v/>
      </c>
      <c r="O31" t="str">
        <f>IF('Sections List'!$B31=14,1,"")</f>
        <v/>
      </c>
      <c r="P31" t="str">
        <f>IF('Sections List'!$B31=15,1,"")</f>
        <v/>
      </c>
      <c r="Q31" t="str">
        <f>IF('Sections List'!$B31=16,1,"")</f>
        <v/>
      </c>
      <c r="R31" t="str">
        <f>IF('Sections List'!$B31=17,1,"")</f>
        <v/>
      </c>
      <c r="S31" t="str">
        <f>IF('Sections List'!$B31=18,1,"")</f>
        <v/>
      </c>
      <c r="T31" t="str">
        <f>IF('Sections List'!$B31=19,1,"")</f>
        <v/>
      </c>
      <c r="U31" t="str">
        <f>IF('Sections List'!$B31=20,1,"")</f>
        <v/>
      </c>
      <c r="V31" t="str">
        <f>IF('Sections List'!$B31=21,1,"")</f>
        <v/>
      </c>
      <c r="W31" t="str">
        <f>IF('Sections List'!$B31=22,1,"")</f>
        <v/>
      </c>
      <c r="X31" t="str">
        <f>IF('Sections List'!$B31=23,1,"")</f>
        <v/>
      </c>
      <c r="Y31" t="str">
        <f>IF('Sections List'!$B31=24,1,"")</f>
        <v/>
      </c>
      <c r="Z31" t="str">
        <f>IF('Sections List'!$B31=25,1,"")</f>
        <v/>
      </c>
      <c r="AA31" t="str">
        <f>IF('Sections List'!$B31=26,1,"")</f>
        <v/>
      </c>
      <c r="AB31" t="str">
        <f>IF('Sections List'!$B31=27,1,"")</f>
        <v/>
      </c>
      <c r="AC31" t="str">
        <f>IF('Sections List'!$B31=28,1,"")</f>
        <v/>
      </c>
    </row>
    <row r="32" spans="1:29">
      <c r="A32" s="22">
        <f>'Sections List'!A32</f>
        <v>0</v>
      </c>
      <c r="B32" t="str">
        <f>IF('Sections List'!$B32=1,1,"")</f>
        <v/>
      </c>
      <c r="C32" t="str">
        <f>IF('Sections List'!$B32=2,1,"")</f>
        <v/>
      </c>
      <c r="D32" t="str">
        <f>IF('Sections List'!$B32=3,1,"")</f>
        <v/>
      </c>
      <c r="E32" t="str">
        <f>IF('Sections List'!$B32=4,1,"")</f>
        <v/>
      </c>
      <c r="F32" t="str">
        <f>IF('Sections List'!$B32=5,1,"")</f>
        <v/>
      </c>
      <c r="G32" t="str">
        <f>IF('Sections List'!$B32=6,1,"")</f>
        <v/>
      </c>
      <c r="H32" t="str">
        <f>IF('Sections List'!$B32=7,1,"")</f>
        <v/>
      </c>
      <c r="I32" t="str">
        <f>IF('Sections List'!$B32=8,1,"")</f>
        <v/>
      </c>
      <c r="J32" t="str">
        <f>IF('Sections List'!$B32=9,1,"")</f>
        <v/>
      </c>
      <c r="K32" t="str">
        <f>IF('Sections List'!$B32=10,1,"")</f>
        <v/>
      </c>
      <c r="L32" t="str">
        <f>IF('Sections List'!$B32=11,1,"")</f>
        <v/>
      </c>
      <c r="M32" t="str">
        <f>IF('Sections List'!$B32=12,1,"")</f>
        <v/>
      </c>
      <c r="N32" t="str">
        <f>IF('Sections List'!$B32=13,1,"")</f>
        <v/>
      </c>
      <c r="O32" t="str">
        <f>IF('Sections List'!$B32=14,1,"")</f>
        <v/>
      </c>
      <c r="P32" t="str">
        <f>IF('Sections List'!$B32=15,1,"")</f>
        <v/>
      </c>
      <c r="Q32" t="str">
        <f>IF('Sections List'!$B32=16,1,"")</f>
        <v/>
      </c>
      <c r="R32" t="str">
        <f>IF('Sections List'!$B32=17,1,"")</f>
        <v/>
      </c>
      <c r="S32" t="str">
        <f>IF('Sections List'!$B32=18,1,"")</f>
        <v/>
      </c>
      <c r="T32" t="str">
        <f>IF('Sections List'!$B32=19,1,"")</f>
        <v/>
      </c>
      <c r="U32" t="str">
        <f>IF('Sections List'!$B32=20,1,"")</f>
        <v/>
      </c>
      <c r="V32" t="str">
        <f>IF('Sections List'!$B32=21,1,"")</f>
        <v/>
      </c>
      <c r="W32" t="str">
        <f>IF('Sections List'!$B32=22,1,"")</f>
        <v/>
      </c>
      <c r="X32" t="str">
        <f>IF('Sections List'!$B32=23,1,"")</f>
        <v/>
      </c>
      <c r="Y32" t="str">
        <f>IF('Sections List'!$B32=24,1,"")</f>
        <v/>
      </c>
      <c r="Z32" t="str">
        <f>IF('Sections List'!$B32=25,1,"")</f>
        <v/>
      </c>
      <c r="AA32" t="str">
        <f>IF('Sections List'!$B32=26,1,"")</f>
        <v/>
      </c>
      <c r="AB32" t="str">
        <f>IF('Sections List'!$B32=27,1,"")</f>
        <v/>
      </c>
      <c r="AC32" t="str">
        <f>IF('Sections List'!$B32=28,1,"")</f>
        <v/>
      </c>
    </row>
    <row r="33" spans="1:29">
      <c r="A33" s="22">
        <f>'Sections List'!A33</f>
        <v>0</v>
      </c>
      <c r="B33" t="str">
        <f>IF('Sections List'!$B33=1,1,"")</f>
        <v/>
      </c>
      <c r="C33" t="str">
        <f>IF('Sections List'!$B33=2,1,"")</f>
        <v/>
      </c>
      <c r="D33" t="str">
        <f>IF('Sections List'!$B33=3,1,"")</f>
        <v/>
      </c>
      <c r="E33" t="str">
        <f>IF('Sections List'!$B33=4,1,"")</f>
        <v/>
      </c>
      <c r="F33" t="str">
        <f>IF('Sections List'!$B33=5,1,"")</f>
        <v/>
      </c>
      <c r="G33" t="str">
        <f>IF('Sections List'!$B33=6,1,"")</f>
        <v/>
      </c>
      <c r="H33" t="str">
        <f>IF('Sections List'!$B33=7,1,"")</f>
        <v/>
      </c>
      <c r="I33" t="str">
        <f>IF('Sections List'!$B33=8,1,"")</f>
        <v/>
      </c>
      <c r="J33" t="str">
        <f>IF('Sections List'!$B33=9,1,"")</f>
        <v/>
      </c>
      <c r="K33" t="str">
        <f>IF('Sections List'!$B33=10,1,"")</f>
        <v/>
      </c>
      <c r="L33" t="str">
        <f>IF('Sections List'!$B33=11,1,"")</f>
        <v/>
      </c>
      <c r="M33" t="str">
        <f>IF('Sections List'!$B33=12,1,"")</f>
        <v/>
      </c>
      <c r="N33" t="str">
        <f>IF('Sections List'!$B33=13,1,"")</f>
        <v/>
      </c>
      <c r="O33" t="str">
        <f>IF('Sections List'!$B33=14,1,"")</f>
        <v/>
      </c>
      <c r="P33" t="str">
        <f>IF('Sections List'!$B33=15,1,"")</f>
        <v/>
      </c>
      <c r="Q33" t="str">
        <f>IF('Sections List'!$B33=16,1,"")</f>
        <v/>
      </c>
      <c r="R33" t="str">
        <f>IF('Sections List'!$B33=17,1,"")</f>
        <v/>
      </c>
      <c r="S33" t="str">
        <f>IF('Sections List'!$B33=18,1,"")</f>
        <v/>
      </c>
      <c r="T33" t="str">
        <f>IF('Sections List'!$B33=19,1,"")</f>
        <v/>
      </c>
      <c r="U33" t="str">
        <f>IF('Sections List'!$B33=20,1,"")</f>
        <v/>
      </c>
      <c r="V33" t="str">
        <f>IF('Sections List'!$B33=21,1,"")</f>
        <v/>
      </c>
      <c r="W33" t="str">
        <f>IF('Sections List'!$B33=22,1,"")</f>
        <v/>
      </c>
      <c r="X33" t="str">
        <f>IF('Sections List'!$B33=23,1,"")</f>
        <v/>
      </c>
      <c r="Y33" t="str">
        <f>IF('Sections List'!$B33=24,1,"")</f>
        <v/>
      </c>
      <c r="Z33" t="str">
        <f>IF('Sections List'!$B33=25,1,"")</f>
        <v/>
      </c>
      <c r="AA33" t="str">
        <f>IF('Sections List'!$B33=26,1,"")</f>
        <v/>
      </c>
      <c r="AB33" t="str">
        <f>IF('Sections List'!$B33=27,1,"")</f>
        <v/>
      </c>
      <c r="AC33" t="str">
        <f>IF('Sections List'!$B33=28,1,"")</f>
        <v/>
      </c>
    </row>
    <row r="34" spans="1:29">
      <c r="A34" s="22">
        <f>'Sections List'!A34</f>
        <v>0</v>
      </c>
      <c r="B34" t="str">
        <f>IF('Sections List'!$B34=1,1,"")</f>
        <v/>
      </c>
      <c r="C34" t="str">
        <f>IF('Sections List'!$B34=2,1,"")</f>
        <v/>
      </c>
      <c r="D34" t="str">
        <f>IF('Sections List'!$B34=3,1,"")</f>
        <v/>
      </c>
      <c r="E34" t="str">
        <f>IF('Sections List'!$B34=4,1,"")</f>
        <v/>
      </c>
      <c r="F34" t="str">
        <f>IF('Sections List'!$B34=5,1,"")</f>
        <v/>
      </c>
      <c r="G34" t="str">
        <f>IF('Sections List'!$B34=6,1,"")</f>
        <v/>
      </c>
      <c r="H34" t="str">
        <f>IF('Sections List'!$B34=7,1,"")</f>
        <v/>
      </c>
      <c r="I34" t="str">
        <f>IF('Sections List'!$B34=8,1,"")</f>
        <v/>
      </c>
      <c r="J34" t="str">
        <f>IF('Sections List'!$B34=9,1,"")</f>
        <v/>
      </c>
      <c r="K34" t="str">
        <f>IF('Sections List'!$B34=10,1,"")</f>
        <v/>
      </c>
      <c r="L34" t="str">
        <f>IF('Sections List'!$B34=11,1,"")</f>
        <v/>
      </c>
      <c r="M34" t="str">
        <f>IF('Sections List'!$B34=12,1,"")</f>
        <v/>
      </c>
      <c r="N34" t="str">
        <f>IF('Sections List'!$B34=13,1,"")</f>
        <v/>
      </c>
      <c r="O34" t="str">
        <f>IF('Sections List'!$B34=14,1,"")</f>
        <v/>
      </c>
      <c r="P34" t="str">
        <f>IF('Sections List'!$B34=15,1,"")</f>
        <v/>
      </c>
      <c r="Q34" t="str">
        <f>IF('Sections List'!$B34=16,1,"")</f>
        <v/>
      </c>
      <c r="R34" t="str">
        <f>IF('Sections List'!$B34=17,1,"")</f>
        <v/>
      </c>
      <c r="S34" t="str">
        <f>IF('Sections List'!$B34=18,1,"")</f>
        <v/>
      </c>
      <c r="T34" t="str">
        <f>IF('Sections List'!$B34=19,1,"")</f>
        <v/>
      </c>
      <c r="U34" t="str">
        <f>IF('Sections List'!$B34=20,1,"")</f>
        <v/>
      </c>
      <c r="V34" t="str">
        <f>IF('Sections List'!$B34=21,1,"")</f>
        <v/>
      </c>
      <c r="W34" t="str">
        <f>IF('Sections List'!$B34=22,1,"")</f>
        <v/>
      </c>
      <c r="X34" t="str">
        <f>IF('Sections List'!$B34=23,1,"")</f>
        <v/>
      </c>
      <c r="Y34" t="str">
        <f>IF('Sections List'!$B34=24,1,"")</f>
        <v/>
      </c>
      <c r="Z34" t="str">
        <f>IF('Sections List'!$B34=25,1,"")</f>
        <v/>
      </c>
      <c r="AA34" t="str">
        <f>IF('Sections List'!$B34=26,1,"")</f>
        <v/>
      </c>
      <c r="AB34" t="str">
        <f>IF('Sections List'!$B34=27,1,"")</f>
        <v/>
      </c>
      <c r="AC34" t="str">
        <f>IF('Sections List'!$B34=28,1,"")</f>
        <v/>
      </c>
    </row>
    <row r="35" spans="1:29">
      <c r="A35" s="22">
        <f>'Sections List'!A35</f>
        <v>0</v>
      </c>
      <c r="B35" t="str">
        <f>IF('Sections List'!$B35=1,1,"")</f>
        <v/>
      </c>
      <c r="C35" t="str">
        <f>IF('Sections List'!$B35=2,1,"")</f>
        <v/>
      </c>
      <c r="D35" t="str">
        <f>IF('Sections List'!$B35=3,1,"")</f>
        <v/>
      </c>
      <c r="E35" t="str">
        <f>IF('Sections List'!$B35=4,1,"")</f>
        <v/>
      </c>
      <c r="F35" t="str">
        <f>IF('Sections List'!$B35=5,1,"")</f>
        <v/>
      </c>
      <c r="G35" t="str">
        <f>IF('Sections List'!$B35=6,1,"")</f>
        <v/>
      </c>
      <c r="H35" t="str">
        <f>IF('Sections List'!$B35=7,1,"")</f>
        <v/>
      </c>
      <c r="I35" t="str">
        <f>IF('Sections List'!$B35=8,1,"")</f>
        <v/>
      </c>
      <c r="J35" t="str">
        <f>IF('Sections List'!$B35=9,1,"")</f>
        <v/>
      </c>
      <c r="K35" t="str">
        <f>IF('Sections List'!$B35=10,1,"")</f>
        <v/>
      </c>
      <c r="L35" t="str">
        <f>IF('Sections List'!$B35=11,1,"")</f>
        <v/>
      </c>
      <c r="M35" t="str">
        <f>IF('Sections List'!$B35=12,1,"")</f>
        <v/>
      </c>
      <c r="N35" t="str">
        <f>IF('Sections List'!$B35=13,1,"")</f>
        <v/>
      </c>
      <c r="O35" t="str">
        <f>IF('Sections List'!$B35=14,1,"")</f>
        <v/>
      </c>
      <c r="P35" t="str">
        <f>IF('Sections List'!$B35=15,1,"")</f>
        <v/>
      </c>
      <c r="Q35" t="str">
        <f>IF('Sections List'!$B35=16,1,"")</f>
        <v/>
      </c>
      <c r="R35" t="str">
        <f>IF('Sections List'!$B35=17,1,"")</f>
        <v/>
      </c>
      <c r="S35" t="str">
        <f>IF('Sections List'!$B35=18,1,"")</f>
        <v/>
      </c>
      <c r="T35" t="str">
        <f>IF('Sections List'!$B35=19,1,"")</f>
        <v/>
      </c>
      <c r="U35" t="str">
        <f>IF('Sections List'!$B35=20,1,"")</f>
        <v/>
      </c>
      <c r="V35" t="str">
        <f>IF('Sections List'!$B35=21,1,"")</f>
        <v/>
      </c>
      <c r="W35" t="str">
        <f>IF('Sections List'!$B35=22,1,"")</f>
        <v/>
      </c>
      <c r="X35" t="str">
        <f>IF('Sections List'!$B35=23,1,"")</f>
        <v/>
      </c>
      <c r="Y35" t="str">
        <f>IF('Sections List'!$B35=24,1,"")</f>
        <v/>
      </c>
      <c r="Z35" t="str">
        <f>IF('Sections List'!$B35=25,1,"")</f>
        <v/>
      </c>
      <c r="AA35" t="str">
        <f>IF('Sections List'!$B35=26,1,"")</f>
        <v/>
      </c>
      <c r="AB35" t="str">
        <f>IF('Sections List'!$B35=27,1,"")</f>
        <v/>
      </c>
      <c r="AC35" t="str">
        <f>IF('Sections List'!$B35=28,1,"")</f>
        <v/>
      </c>
    </row>
    <row r="36" spans="1:29">
      <c r="A36" s="22">
        <f>'Sections List'!A36</f>
        <v>0</v>
      </c>
      <c r="B36" t="str">
        <f>IF('Sections List'!$B36=1,1,"")</f>
        <v/>
      </c>
      <c r="C36" t="str">
        <f>IF('Sections List'!$B36=2,1,"")</f>
        <v/>
      </c>
      <c r="D36" t="str">
        <f>IF('Sections List'!$B36=3,1,"")</f>
        <v/>
      </c>
      <c r="E36" t="str">
        <f>IF('Sections List'!$B36=4,1,"")</f>
        <v/>
      </c>
      <c r="F36" t="str">
        <f>IF('Sections List'!$B36=5,1,"")</f>
        <v/>
      </c>
      <c r="G36" t="str">
        <f>IF('Sections List'!$B36=6,1,"")</f>
        <v/>
      </c>
      <c r="H36" t="str">
        <f>IF('Sections List'!$B36=7,1,"")</f>
        <v/>
      </c>
      <c r="I36" t="str">
        <f>IF('Sections List'!$B36=8,1,"")</f>
        <v/>
      </c>
      <c r="J36" t="str">
        <f>IF('Sections List'!$B36=9,1,"")</f>
        <v/>
      </c>
      <c r="K36" t="str">
        <f>IF('Sections List'!$B36=10,1,"")</f>
        <v/>
      </c>
      <c r="L36" t="str">
        <f>IF('Sections List'!$B36=11,1,"")</f>
        <v/>
      </c>
      <c r="M36" t="str">
        <f>IF('Sections List'!$B36=12,1,"")</f>
        <v/>
      </c>
      <c r="N36" t="str">
        <f>IF('Sections List'!$B36=13,1,"")</f>
        <v/>
      </c>
      <c r="O36" t="str">
        <f>IF('Sections List'!$B36=14,1,"")</f>
        <v/>
      </c>
      <c r="P36" t="str">
        <f>IF('Sections List'!$B36=15,1,"")</f>
        <v/>
      </c>
      <c r="Q36" t="str">
        <f>IF('Sections List'!$B36=16,1,"")</f>
        <v/>
      </c>
      <c r="R36" t="str">
        <f>IF('Sections List'!$B36=17,1,"")</f>
        <v/>
      </c>
      <c r="S36" t="str">
        <f>IF('Sections List'!$B36=18,1,"")</f>
        <v/>
      </c>
      <c r="T36" t="str">
        <f>IF('Sections List'!$B36=19,1,"")</f>
        <v/>
      </c>
      <c r="U36" t="str">
        <f>IF('Sections List'!$B36=20,1,"")</f>
        <v/>
      </c>
      <c r="V36" t="str">
        <f>IF('Sections List'!$B36=21,1,"")</f>
        <v/>
      </c>
      <c r="W36" t="str">
        <f>IF('Sections List'!$B36=22,1,"")</f>
        <v/>
      </c>
      <c r="X36" t="str">
        <f>IF('Sections List'!$B36=23,1,"")</f>
        <v/>
      </c>
      <c r="Y36" t="str">
        <f>IF('Sections List'!$B36=24,1,"")</f>
        <v/>
      </c>
      <c r="Z36" t="str">
        <f>IF('Sections List'!$B36=25,1,"")</f>
        <v/>
      </c>
      <c r="AA36" t="str">
        <f>IF('Sections List'!$B36=26,1,"")</f>
        <v/>
      </c>
      <c r="AB36" t="str">
        <f>IF('Sections List'!$B36=27,1,"")</f>
        <v/>
      </c>
      <c r="AC36" t="str">
        <f>IF('Sections List'!$B36=28,1,"")</f>
        <v/>
      </c>
    </row>
    <row r="37" spans="1:29">
      <c r="A37" s="22">
        <f>'Sections List'!A37</f>
        <v>0</v>
      </c>
      <c r="B37" t="str">
        <f>IF('Sections List'!$B37=1,1,"")</f>
        <v/>
      </c>
      <c r="C37" t="str">
        <f>IF('Sections List'!$B37=2,1,"")</f>
        <v/>
      </c>
      <c r="D37" t="str">
        <f>IF('Sections List'!$B37=3,1,"")</f>
        <v/>
      </c>
      <c r="E37" t="str">
        <f>IF('Sections List'!$B37=4,1,"")</f>
        <v/>
      </c>
      <c r="F37" t="str">
        <f>IF('Sections List'!$B37=5,1,"")</f>
        <v/>
      </c>
      <c r="G37" t="str">
        <f>IF('Sections List'!$B37=6,1,"")</f>
        <v/>
      </c>
      <c r="H37" t="str">
        <f>IF('Sections List'!$B37=7,1,"")</f>
        <v/>
      </c>
      <c r="I37" t="str">
        <f>IF('Sections List'!$B37=8,1,"")</f>
        <v/>
      </c>
      <c r="J37" t="str">
        <f>IF('Sections List'!$B37=9,1,"")</f>
        <v/>
      </c>
      <c r="K37" t="str">
        <f>IF('Sections List'!$B37=10,1,"")</f>
        <v/>
      </c>
      <c r="L37" t="str">
        <f>IF('Sections List'!$B37=11,1,"")</f>
        <v/>
      </c>
      <c r="M37" t="str">
        <f>IF('Sections List'!$B37=12,1,"")</f>
        <v/>
      </c>
      <c r="N37" t="str">
        <f>IF('Sections List'!$B37=13,1,"")</f>
        <v/>
      </c>
      <c r="O37" t="str">
        <f>IF('Sections List'!$B37=14,1,"")</f>
        <v/>
      </c>
      <c r="P37" t="str">
        <f>IF('Sections List'!$B37=15,1,"")</f>
        <v/>
      </c>
      <c r="Q37" t="str">
        <f>IF('Sections List'!$B37=16,1,"")</f>
        <v/>
      </c>
      <c r="R37" t="str">
        <f>IF('Sections List'!$B37=17,1,"")</f>
        <v/>
      </c>
      <c r="S37" t="str">
        <f>IF('Sections List'!$B37=18,1,"")</f>
        <v/>
      </c>
      <c r="T37" t="str">
        <f>IF('Sections List'!$B37=19,1,"")</f>
        <v/>
      </c>
      <c r="U37" t="str">
        <f>IF('Sections List'!$B37=20,1,"")</f>
        <v/>
      </c>
      <c r="V37" t="str">
        <f>IF('Sections List'!$B37=21,1,"")</f>
        <v/>
      </c>
      <c r="W37" t="str">
        <f>IF('Sections List'!$B37=22,1,"")</f>
        <v/>
      </c>
      <c r="X37" t="str">
        <f>IF('Sections List'!$B37=23,1,"")</f>
        <v/>
      </c>
      <c r="Y37" t="str">
        <f>IF('Sections List'!$B37=24,1,"")</f>
        <v/>
      </c>
      <c r="Z37" t="str">
        <f>IF('Sections List'!$B37=25,1,"")</f>
        <v/>
      </c>
      <c r="AA37" t="str">
        <f>IF('Sections List'!$B37=26,1,"")</f>
        <v/>
      </c>
      <c r="AB37" t="str">
        <f>IF('Sections List'!$B37=27,1,"")</f>
        <v/>
      </c>
      <c r="AC37" t="str">
        <f>IF('Sections List'!$B37=28,1,"")</f>
        <v/>
      </c>
    </row>
    <row r="38" spans="1:29">
      <c r="A38" s="22">
        <f>'Sections List'!A38</f>
        <v>0</v>
      </c>
      <c r="B38" t="str">
        <f>IF('Sections List'!$B38=1,1,"")</f>
        <v/>
      </c>
      <c r="C38" t="str">
        <f>IF('Sections List'!$B38=2,1,"")</f>
        <v/>
      </c>
      <c r="D38" t="str">
        <f>IF('Sections List'!$B38=3,1,"")</f>
        <v/>
      </c>
      <c r="E38" t="str">
        <f>IF('Sections List'!$B38=4,1,"")</f>
        <v/>
      </c>
      <c r="F38" t="str">
        <f>IF('Sections List'!$B38=5,1,"")</f>
        <v/>
      </c>
      <c r="G38" t="str">
        <f>IF('Sections List'!$B38=6,1,"")</f>
        <v/>
      </c>
      <c r="H38" t="str">
        <f>IF('Sections List'!$B38=7,1,"")</f>
        <v/>
      </c>
      <c r="I38" t="str">
        <f>IF('Sections List'!$B38=8,1,"")</f>
        <v/>
      </c>
      <c r="J38" t="str">
        <f>IF('Sections List'!$B38=9,1,"")</f>
        <v/>
      </c>
      <c r="K38" t="str">
        <f>IF('Sections List'!$B38=10,1,"")</f>
        <v/>
      </c>
      <c r="L38" t="str">
        <f>IF('Sections List'!$B38=11,1,"")</f>
        <v/>
      </c>
      <c r="M38" t="str">
        <f>IF('Sections List'!$B38=12,1,"")</f>
        <v/>
      </c>
      <c r="N38" t="str">
        <f>IF('Sections List'!$B38=13,1,"")</f>
        <v/>
      </c>
      <c r="O38" t="str">
        <f>IF('Sections List'!$B38=14,1,"")</f>
        <v/>
      </c>
      <c r="P38" t="str">
        <f>IF('Sections List'!$B38=15,1,"")</f>
        <v/>
      </c>
      <c r="Q38" t="str">
        <f>IF('Sections List'!$B38=16,1,"")</f>
        <v/>
      </c>
      <c r="R38" t="str">
        <f>IF('Sections List'!$B38=17,1,"")</f>
        <v/>
      </c>
      <c r="S38" t="str">
        <f>IF('Sections List'!$B38=18,1,"")</f>
        <v/>
      </c>
      <c r="T38" t="str">
        <f>IF('Sections List'!$B38=19,1,"")</f>
        <v/>
      </c>
      <c r="U38" t="str">
        <f>IF('Sections List'!$B38=20,1,"")</f>
        <v/>
      </c>
      <c r="V38" t="str">
        <f>IF('Sections List'!$B38=21,1,"")</f>
        <v/>
      </c>
      <c r="W38" t="str">
        <f>IF('Sections List'!$B38=22,1,"")</f>
        <v/>
      </c>
      <c r="X38" t="str">
        <f>IF('Sections List'!$B38=23,1,"")</f>
        <v/>
      </c>
      <c r="Y38" t="str">
        <f>IF('Sections List'!$B38=24,1,"")</f>
        <v/>
      </c>
      <c r="Z38" t="str">
        <f>IF('Sections List'!$B38=25,1,"")</f>
        <v/>
      </c>
      <c r="AA38" t="str">
        <f>IF('Sections List'!$B38=26,1,"")</f>
        <v/>
      </c>
      <c r="AB38" t="str">
        <f>IF('Sections List'!$B38=27,1,"")</f>
        <v/>
      </c>
      <c r="AC38" t="str">
        <f>IF('Sections List'!$B38=28,1,"")</f>
        <v/>
      </c>
    </row>
    <row r="39" spans="1:29">
      <c r="A39" s="22">
        <f>'Sections List'!A39</f>
        <v>0</v>
      </c>
      <c r="B39" t="str">
        <f>IF('Sections List'!$B39=1,1,"")</f>
        <v/>
      </c>
      <c r="C39" t="str">
        <f>IF('Sections List'!$B39=2,1,"")</f>
        <v/>
      </c>
      <c r="D39" t="str">
        <f>IF('Sections List'!$B39=3,1,"")</f>
        <v/>
      </c>
      <c r="E39" t="str">
        <f>IF('Sections List'!$B39=4,1,"")</f>
        <v/>
      </c>
      <c r="F39" t="str">
        <f>IF('Sections List'!$B39=5,1,"")</f>
        <v/>
      </c>
      <c r="G39" t="str">
        <f>IF('Sections List'!$B39=6,1,"")</f>
        <v/>
      </c>
      <c r="H39" t="str">
        <f>IF('Sections List'!$B39=7,1,"")</f>
        <v/>
      </c>
      <c r="I39" t="str">
        <f>IF('Sections List'!$B39=8,1,"")</f>
        <v/>
      </c>
      <c r="J39" t="str">
        <f>IF('Sections List'!$B39=9,1,"")</f>
        <v/>
      </c>
      <c r="K39" t="str">
        <f>IF('Sections List'!$B39=10,1,"")</f>
        <v/>
      </c>
      <c r="L39" t="str">
        <f>IF('Sections List'!$B39=11,1,"")</f>
        <v/>
      </c>
      <c r="M39" t="str">
        <f>IF('Sections List'!$B39=12,1,"")</f>
        <v/>
      </c>
      <c r="N39" t="str">
        <f>IF('Sections List'!$B39=13,1,"")</f>
        <v/>
      </c>
      <c r="O39" t="str">
        <f>IF('Sections List'!$B39=14,1,"")</f>
        <v/>
      </c>
      <c r="P39" t="str">
        <f>IF('Sections List'!$B39=15,1,"")</f>
        <v/>
      </c>
      <c r="Q39" t="str">
        <f>IF('Sections List'!$B39=16,1,"")</f>
        <v/>
      </c>
      <c r="R39" t="str">
        <f>IF('Sections List'!$B39=17,1,"")</f>
        <v/>
      </c>
      <c r="S39" t="str">
        <f>IF('Sections List'!$B39=18,1,"")</f>
        <v/>
      </c>
      <c r="T39" t="str">
        <f>IF('Sections List'!$B39=19,1,"")</f>
        <v/>
      </c>
      <c r="U39" t="str">
        <f>IF('Sections List'!$B39=20,1,"")</f>
        <v/>
      </c>
      <c r="V39" t="str">
        <f>IF('Sections List'!$B39=21,1,"")</f>
        <v/>
      </c>
      <c r="W39" t="str">
        <f>IF('Sections List'!$B39=22,1,"")</f>
        <v/>
      </c>
      <c r="X39" t="str">
        <f>IF('Sections List'!$B39=23,1,"")</f>
        <v/>
      </c>
      <c r="Y39" t="str">
        <f>IF('Sections List'!$B39=24,1,"")</f>
        <v/>
      </c>
      <c r="Z39" t="str">
        <f>IF('Sections List'!$B39=25,1,"")</f>
        <v/>
      </c>
      <c r="AA39" t="str">
        <f>IF('Sections List'!$B39=26,1,"")</f>
        <v/>
      </c>
      <c r="AB39" t="str">
        <f>IF('Sections List'!$B39=27,1,"")</f>
        <v/>
      </c>
      <c r="AC39" t="str">
        <f>IF('Sections List'!$B39=28,1,"")</f>
        <v/>
      </c>
    </row>
    <row r="40" spans="1:29">
      <c r="A40" s="22">
        <f>'Sections List'!A40</f>
        <v>0</v>
      </c>
      <c r="B40" t="str">
        <f>IF('Sections List'!$B40=1,1,"")</f>
        <v/>
      </c>
      <c r="C40" t="str">
        <f>IF('Sections List'!$B40=2,1,"")</f>
        <v/>
      </c>
      <c r="D40" t="str">
        <f>IF('Sections List'!$B40=3,1,"")</f>
        <v/>
      </c>
      <c r="E40" t="str">
        <f>IF('Sections List'!$B40=4,1,"")</f>
        <v/>
      </c>
      <c r="F40" t="str">
        <f>IF('Sections List'!$B40=5,1,"")</f>
        <v/>
      </c>
      <c r="G40" t="str">
        <f>IF('Sections List'!$B40=6,1,"")</f>
        <v/>
      </c>
      <c r="H40" t="str">
        <f>IF('Sections List'!$B40=7,1,"")</f>
        <v/>
      </c>
      <c r="I40" t="str">
        <f>IF('Sections List'!$B40=8,1,"")</f>
        <v/>
      </c>
      <c r="J40" t="str">
        <f>IF('Sections List'!$B40=9,1,"")</f>
        <v/>
      </c>
      <c r="K40" t="str">
        <f>IF('Sections List'!$B40=10,1,"")</f>
        <v/>
      </c>
      <c r="L40" t="str">
        <f>IF('Sections List'!$B40=11,1,"")</f>
        <v/>
      </c>
      <c r="M40" t="str">
        <f>IF('Sections List'!$B40=12,1,"")</f>
        <v/>
      </c>
      <c r="N40" t="str">
        <f>IF('Sections List'!$B40=13,1,"")</f>
        <v/>
      </c>
      <c r="O40" t="str">
        <f>IF('Sections List'!$B40=14,1,"")</f>
        <v/>
      </c>
      <c r="P40" t="str">
        <f>IF('Sections List'!$B40=15,1,"")</f>
        <v/>
      </c>
      <c r="Q40" t="str">
        <f>IF('Sections List'!$B40=16,1,"")</f>
        <v/>
      </c>
      <c r="R40" t="str">
        <f>IF('Sections List'!$B40=17,1,"")</f>
        <v/>
      </c>
      <c r="S40" t="str">
        <f>IF('Sections List'!$B40=18,1,"")</f>
        <v/>
      </c>
      <c r="T40" t="str">
        <f>IF('Sections List'!$B40=19,1,"")</f>
        <v/>
      </c>
      <c r="U40" t="str">
        <f>IF('Sections List'!$B40=20,1,"")</f>
        <v/>
      </c>
      <c r="V40" t="str">
        <f>IF('Sections List'!$B40=21,1,"")</f>
        <v/>
      </c>
      <c r="W40" t="str">
        <f>IF('Sections List'!$B40=22,1,"")</f>
        <v/>
      </c>
      <c r="X40" t="str">
        <f>IF('Sections List'!$B40=23,1,"")</f>
        <v/>
      </c>
      <c r="Y40" t="str">
        <f>IF('Sections List'!$B40=24,1,"")</f>
        <v/>
      </c>
      <c r="Z40" t="str">
        <f>IF('Sections List'!$B40=25,1,"")</f>
        <v/>
      </c>
      <c r="AA40" t="str">
        <f>IF('Sections List'!$B40=26,1,"")</f>
        <v/>
      </c>
      <c r="AB40" t="str">
        <f>IF('Sections List'!$B40=27,1,"")</f>
        <v/>
      </c>
      <c r="AC40" t="str">
        <f>IF('Sections List'!$B40=28,1,"")</f>
        <v/>
      </c>
    </row>
    <row r="41" spans="1:29">
      <c r="A41" s="22">
        <f>'Sections List'!A41</f>
        <v>0</v>
      </c>
      <c r="B41" t="str">
        <f>IF('Sections List'!$B41=1,1,"")</f>
        <v/>
      </c>
      <c r="C41" t="str">
        <f>IF('Sections List'!$B41=2,1,"")</f>
        <v/>
      </c>
      <c r="D41" t="str">
        <f>IF('Sections List'!$B41=3,1,"")</f>
        <v/>
      </c>
      <c r="E41" t="str">
        <f>IF('Sections List'!$B41=4,1,"")</f>
        <v/>
      </c>
      <c r="F41" t="str">
        <f>IF('Sections List'!$B41=5,1,"")</f>
        <v/>
      </c>
      <c r="G41" t="str">
        <f>IF('Sections List'!$B41=6,1,"")</f>
        <v/>
      </c>
      <c r="H41" t="str">
        <f>IF('Sections List'!$B41=7,1,"")</f>
        <v/>
      </c>
      <c r="I41" t="str">
        <f>IF('Sections List'!$B41=8,1,"")</f>
        <v/>
      </c>
      <c r="J41" t="str">
        <f>IF('Sections List'!$B41=9,1,"")</f>
        <v/>
      </c>
      <c r="K41" t="str">
        <f>IF('Sections List'!$B41=10,1,"")</f>
        <v/>
      </c>
      <c r="L41" t="str">
        <f>IF('Sections List'!$B41=11,1,"")</f>
        <v/>
      </c>
      <c r="M41" t="str">
        <f>IF('Sections List'!$B41=12,1,"")</f>
        <v/>
      </c>
      <c r="N41" t="str">
        <f>IF('Sections List'!$B41=13,1,"")</f>
        <v/>
      </c>
      <c r="O41" t="str">
        <f>IF('Sections List'!$B41=14,1,"")</f>
        <v/>
      </c>
      <c r="P41" t="str">
        <f>IF('Sections List'!$B41=15,1,"")</f>
        <v/>
      </c>
      <c r="Q41" t="str">
        <f>IF('Sections List'!$B41=16,1,"")</f>
        <v/>
      </c>
      <c r="R41" t="str">
        <f>IF('Sections List'!$B41=17,1,"")</f>
        <v/>
      </c>
      <c r="S41" t="str">
        <f>IF('Sections List'!$B41=18,1,"")</f>
        <v/>
      </c>
      <c r="T41" t="str">
        <f>IF('Sections List'!$B41=19,1,"")</f>
        <v/>
      </c>
      <c r="U41" t="str">
        <f>IF('Sections List'!$B41=20,1,"")</f>
        <v/>
      </c>
      <c r="V41" t="str">
        <f>IF('Sections List'!$B41=21,1,"")</f>
        <v/>
      </c>
      <c r="W41" t="str">
        <f>IF('Sections List'!$B41=22,1,"")</f>
        <v/>
      </c>
      <c r="X41" t="str">
        <f>IF('Sections List'!$B41=23,1,"")</f>
        <v/>
      </c>
      <c r="Y41" t="str">
        <f>IF('Sections List'!$B41=24,1,"")</f>
        <v/>
      </c>
      <c r="Z41" t="str">
        <f>IF('Sections List'!$B41=25,1,"")</f>
        <v/>
      </c>
      <c r="AA41" t="str">
        <f>IF('Sections List'!$B41=26,1,"")</f>
        <v/>
      </c>
      <c r="AB41" t="str">
        <f>IF('Sections List'!$B41=27,1,"")</f>
        <v/>
      </c>
      <c r="AC41" t="str">
        <f>IF('Sections List'!$B41=28,1,"")</f>
        <v/>
      </c>
    </row>
    <row r="42" spans="1:29">
      <c r="A42" s="22">
        <f>'Sections List'!A42</f>
        <v>0</v>
      </c>
      <c r="B42" t="str">
        <f>IF('Sections List'!$B42=1,1,"")</f>
        <v/>
      </c>
      <c r="C42" t="str">
        <f>IF('Sections List'!$B42=2,1,"")</f>
        <v/>
      </c>
      <c r="D42" t="str">
        <f>IF('Sections List'!$B42=3,1,"")</f>
        <v/>
      </c>
      <c r="E42" t="str">
        <f>IF('Sections List'!$B42=4,1,"")</f>
        <v/>
      </c>
      <c r="F42" t="str">
        <f>IF('Sections List'!$B42=5,1,"")</f>
        <v/>
      </c>
      <c r="G42" t="str">
        <f>IF('Sections List'!$B42=6,1,"")</f>
        <v/>
      </c>
      <c r="H42" t="str">
        <f>IF('Sections List'!$B42=7,1,"")</f>
        <v/>
      </c>
      <c r="I42" t="str">
        <f>IF('Sections List'!$B42=8,1,"")</f>
        <v/>
      </c>
      <c r="J42" t="str">
        <f>IF('Sections List'!$B42=9,1,"")</f>
        <v/>
      </c>
      <c r="K42" t="str">
        <f>IF('Sections List'!$B42=10,1,"")</f>
        <v/>
      </c>
      <c r="L42" t="str">
        <f>IF('Sections List'!$B42=11,1,"")</f>
        <v/>
      </c>
      <c r="M42" t="str">
        <f>IF('Sections List'!$B42=12,1,"")</f>
        <v/>
      </c>
      <c r="N42" t="str">
        <f>IF('Sections List'!$B42=13,1,"")</f>
        <v/>
      </c>
      <c r="O42" t="str">
        <f>IF('Sections List'!$B42=14,1,"")</f>
        <v/>
      </c>
      <c r="P42" t="str">
        <f>IF('Sections List'!$B42=15,1,"")</f>
        <v/>
      </c>
      <c r="Q42" t="str">
        <f>IF('Sections List'!$B42=16,1,"")</f>
        <v/>
      </c>
      <c r="R42" t="str">
        <f>IF('Sections List'!$B42=17,1,"")</f>
        <v/>
      </c>
      <c r="S42" t="str">
        <f>IF('Sections List'!$B42=18,1,"")</f>
        <v/>
      </c>
      <c r="T42" t="str">
        <f>IF('Sections List'!$B42=19,1,"")</f>
        <v/>
      </c>
      <c r="U42" t="str">
        <f>IF('Sections List'!$B42=20,1,"")</f>
        <v/>
      </c>
      <c r="V42" t="str">
        <f>IF('Sections List'!$B42=21,1,"")</f>
        <v/>
      </c>
      <c r="W42" t="str">
        <f>IF('Sections List'!$B42=22,1,"")</f>
        <v/>
      </c>
      <c r="X42" t="str">
        <f>IF('Sections List'!$B42=23,1,"")</f>
        <v/>
      </c>
      <c r="Y42" t="str">
        <f>IF('Sections List'!$B42=24,1,"")</f>
        <v/>
      </c>
      <c r="Z42" t="str">
        <f>IF('Sections List'!$B42=25,1,"")</f>
        <v/>
      </c>
      <c r="AA42" t="str">
        <f>IF('Sections List'!$B42=26,1,"")</f>
        <v/>
      </c>
      <c r="AB42" t="str">
        <f>IF('Sections List'!$B42=27,1,"")</f>
        <v/>
      </c>
      <c r="AC42" t="str">
        <f>IF('Sections List'!$B42=28,1,"")</f>
        <v/>
      </c>
    </row>
    <row r="43" spans="1:29">
      <c r="A43" s="22">
        <f>'Sections List'!A43</f>
        <v>0</v>
      </c>
      <c r="B43" t="str">
        <f>IF('Sections List'!$B43=1,1,"")</f>
        <v/>
      </c>
      <c r="C43" t="str">
        <f>IF('Sections List'!$B43=2,1,"")</f>
        <v/>
      </c>
      <c r="D43" t="str">
        <f>IF('Sections List'!$B43=3,1,"")</f>
        <v/>
      </c>
      <c r="E43" t="str">
        <f>IF('Sections List'!$B43=4,1,"")</f>
        <v/>
      </c>
      <c r="F43" t="str">
        <f>IF('Sections List'!$B43=5,1,"")</f>
        <v/>
      </c>
      <c r="G43" t="str">
        <f>IF('Sections List'!$B43=6,1,"")</f>
        <v/>
      </c>
      <c r="H43" t="str">
        <f>IF('Sections List'!$B43=7,1,"")</f>
        <v/>
      </c>
      <c r="I43" t="str">
        <f>IF('Sections List'!$B43=8,1,"")</f>
        <v/>
      </c>
      <c r="J43" t="str">
        <f>IF('Sections List'!$B43=9,1,"")</f>
        <v/>
      </c>
      <c r="K43" t="str">
        <f>IF('Sections List'!$B43=10,1,"")</f>
        <v/>
      </c>
      <c r="L43" t="str">
        <f>IF('Sections List'!$B43=11,1,"")</f>
        <v/>
      </c>
      <c r="M43" t="str">
        <f>IF('Sections List'!$B43=12,1,"")</f>
        <v/>
      </c>
      <c r="N43" t="str">
        <f>IF('Sections List'!$B43=13,1,"")</f>
        <v/>
      </c>
      <c r="O43" t="str">
        <f>IF('Sections List'!$B43=14,1,"")</f>
        <v/>
      </c>
      <c r="P43" t="str">
        <f>IF('Sections List'!$B43=15,1,"")</f>
        <v/>
      </c>
      <c r="Q43" t="str">
        <f>IF('Sections List'!$B43=16,1,"")</f>
        <v/>
      </c>
      <c r="R43" t="str">
        <f>IF('Sections List'!$B43=17,1,"")</f>
        <v/>
      </c>
      <c r="S43" t="str">
        <f>IF('Sections List'!$B43=18,1,"")</f>
        <v/>
      </c>
      <c r="T43" t="str">
        <f>IF('Sections List'!$B43=19,1,"")</f>
        <v/>
      </c>
      <c r="U43" t="str">
        <f>IF('Sections List'!$B43=20,1,"")</f>
        <v/>
      </c>
      <c r="V43" t="str">
        <f>IF('Sections List'!$B43=21,1,"")</f>
        <v/>
      </c>
      <c r="W43" t="str">
        <f>IF('Sections List'!$B43=22,1,"")</f>
        <v/>
      </c>
      <c r="X43" t="str">
        <f>IF('Sections List'!$B43=23,1,"")</f>
        <v/>
      </c>
      <c r="Y43" t="str">
        <f>IF('Sections List'!$B43=24,1,"")</f>
        <v/>
      </c>
      <c r="Z43" t="str">
        <f>IF('Sections List'!$B43=25,1,"")</f>
        <v/>
      </c>
      <c r="AA43" t="str">
        <f>IF('Sections List'!$B43=26,1,"")</f>
        <v/>
      </c>
      <c r="AB43" t="str">
        <f>IF('Sections List'!$B43=27,1,"")</f>
        <v/>
      </c>
      <c r="AC43" t="str">
        <f>IF('Sections List'!$B43=28,1,"")</f>
        <v/>
      </c>
    </row>
    <row r="44" spans="1:29">
      <c r="A44" s="22">
        <f>'Sections List'!A44</f>
        <v>0</v>
      </c>
      <c r="B44" t="str">
        <f>IF('Sections List'!$B44=1,1,"")</f>
        <v/>
      </c>
      <c r="C44" t="str">
        <f>IF('Sections List'!$B44=2,1,"")</f>
        <v/>
      </c>
      <c r="D44" t="str">
        <f>IF('Sections List'!$B44=3,1,"")</f>
        <v/>
      </c>
      <c r="E44" t="str">
        <f>IF('Sections List'!$B44=4,1,"")</f>
        <v/>
      </c>
      <c r="F44" t="str">
        <f>IF('Sections List'!$B44=5,1,"")</f>
        <v/>
      </c>
      <c r="G44" t="str">
        <f>IF('Sections List'!$B44=6,1,"")</f>
        <v/>
      </c>
      <c r="H44" t="str">
        <f>IF('Sections List'!$B44=7,1,"")</f>
        <v/>
      </c>
      <c r="I44" t="str">
        <f>IF('Sections List'!$B44=8,1,"")</f>
        <v/>
      </c>
      <c r="J44" t="str">
        <f>IF('Sections List'!$B44=9,1,"")</f>
        <v/>
      </c>
      <c r="K44" t="str">
        <f>IF('Sections List'!$B44=10,1,"")</f>
        <v/>
      </c>
      <c r="L44" t="str">
        <f>IF('Sections List'!$B44=11,1,"")</f>
        <v/>
      </c>
      <c r="M44" t="str">
        <f>IF('Sections List'!$B44=12,1,"")</f>
        <v/>
      </c>
      <c r="N44" t="str">
        <f>IF('Sections List'!$B44=13,1,"")</f>
        <v/>
      </c>
      <c r="O44" t="str">
        <f>IF('Sections List'!$B44=14,1,"")</f>
        <v/>
      </c>
      <c r="P44" t="str">
        <f>IF('Sections List'!$B44=15,1,"")</f>
        <v/>
      </c>
      <c r="Q44" t="str">
        <f>IF('Sections List'!$B44=16,1,"")</f>
        <v/>
      </c>
      <c r="R44" t="str">
        <f>IF('Sections List'!$B44=17,1,"")</f>
        <v/>
      </c>
      <c r="S44" t="str">
        <f>IF('Sections List'!$B44=18,1,"")</f>
        <v/>
      </c>
      <c r="T44" t="str">
        <f>IF('Sections List'!$B44=19,1,"")</f>
        <v/>
      </c>
      <c r="U44" t="str">
        <f>IF('Sections List'!$B44=20,1,"")</f>
        <v/>
      </c>
      <c r="V44" t="str">
        <f>IF('Sections List'!$B44=21,1,"")</f>
        <v/>
      </c>
      <c r="W44" t="str">
        <f>IF('Sections List'!$B44=22,1,"")</f>
        <v/>
      </c>
      <c r="X44" t="str">
        <f>IF('Sections List'!$B44=23,1,"")</f>
        <v/>
      </c>
      <c r="Y44" t="str">
        <f>IF('Sections List'!$B44=24,1,"")</f>
        <v/>
      </c>
      <c r="Z44" t="str">
        <f>IF('Sections List'!$B44=25,1,"")</f>
        <v/>
      </c>
      <c r="AA44" t="str">
        <f>IF('Sections List'!$B44=26,1,"")</f>
        <v/>
      </c>
      <c r="AB44" t="str">
        <f>IF('Sections List'!$B44=27,1,"")</f>
        <v/>
      </c>
      <c r="AC44" t="str">
        <f>IF('Sections List'!$B44=28,1,"")</f>
        <v/>
      </c>
    </row>
    <row r="45" spans="1:29">
      <c r="A45" s="22">
        <f>'Sections List'!A45</f>
        <v>0</v>
      </c>
      <c r="B45" t="str">
        <f>IF('Sections List'!$B45=1,1,"")</f>
        <v/>
      </c>
      <c r="C45" t="str">
        <f>IF('Sections List'!$B45=2,1,"")</f>
        <v/>
      </c>
      <c r="D45" t="str">
        <f>IF('Sections List'!$B45=3,1,"")</f>
        <v/>
      </c>
      <c r="E45" t="str">
        <f>IF('Sections List'!$B45=4,1,"")</f>
        <v/>
      </c>
      <c r="F45" t="str">
        <f>IF('Sections List'!$B45=5,1,"")</f>
        <v/>
      </c>
      <c r="G45" t="str">
        <f>IF('Sections List'!$B45=6,1,"")</f>
        <v/>
      </c>
      <c r="H45" t="str">
        <f>IF('Sections List'!$B45=7,1,"")</f>
        <v/>
      </c>
      <c r="I45" t="str">
        <f>IF('Sections List'!$B45=8,1,"")</f>
        <v/>
      </c>
      <c r="J45" t="str">
        <f>IF('Sections List'!$B45=9,1,"")</f>
        <v/>
      </c>
      <c r="K45" t="str">
        <f>IF('Sections List'!$B45=10,1,"")</f>
        <v/>
      </c>
      <c r="L45" t="str">
        <f>IF('Sections List'!$B45=11,1,"")</f>
        <v/>
      </c>
      <c r="M45" t="str">
        <f>IF('Sections List'!$B45=12,1,"")</f>
        <v/>
      </c>
      <c r="N45" t="str">
        <f>IF('Sections List'!$B45=13,1,"")</f>
        <v/>
      </c>
      <c r="O45" t="str">
        <f>IF('Sections List'!$B45=14,1,"")</f>
        <v/>
      </c>
      <c r="P45" t="str">
        <f>IF('Sections List'!$B45=15,1,"")</f>
        <v/>
      </c>
      <c r="Q45" t="str">
        <f>IF('Sections List'!$B45=16,1,"")</f>
        <v/>
      </c>
      <c r="R45" t="str">
        <f>IF('Sections List'!$B45=17,1,"")</f>
        <v/>
      </c>
      <c r="S45" t="str">
        <f>IF('Sections List'!$B45=18,1,"")</f>
        <v/>
      </c>
      <c r="T45" t="str">
        <f>IF('Sections List'!$B45=19,1,"")</f>
        <v/>
      </c>
      <c r="U45" t="str">
        <f>IF('Sections List'!$B45=20,1,"")</f>
        <v/>
      </c>
      <c r="V45" t="str">
        <f>IF('Sections List'!$B45=21,1,"")</f>
        <v/>
      </c>
      <c r="W45" t="str">
        <f>IF('Sections List'!$B45=22,1,"")</f>
        <v/>
      </c>
      <c r="X45" t="str">
        <f>IF('Sections List'!$B45=23,1,"")</f>
        <v/>
      </c>
      <c r="Y45" t="str">
        <f>IF('Sections List'!$B45=24,1,"")</f>
        <v/>
      </c>
      <c r="Z45" t="str">
        <f>IF('Sections List'!$B45=25,1,"")</f>
        <v/>
      </c>
      <c r="AA45" t="str">
        <f>IF('Sections List'!$B45=26,1,"")</f>
        <v/>
      </c>
      <c r="AB45" t="str">
        <f>IF('Sections List'!$B45=27,1,"")</f>
        <v/>
      </c>
      <c r="AC45" t="str">
        <f>IF('Sections List'!$B45=28,1,"")</f>
        <v/>
      </c>
    </row>
    <row r="46" spans="1:29">
      <c r="A46" s="22">
        <f>'Sections List'!A46</f>
        <v>0</v>
      </c>
      <c r="B46" t="str">
        <f>IF('Sections List'!$B46=1,1,"")</f>
        <v/>
      </c>
      <c r="C46" t="str">
        <f>IF('Sections List'!$B46=2,1,"")</f>
        <v/>
      </c>
      <c r="D46" t="str">
        <f>IF('Sections List'!$B46=3,1,"")</f>
        <v/>
      </c>
      <c r="E46" t="str">
        <f>IF('Sections List'!$B46=4,1,"")</f>
        <v/>
      </c>
      <c r="F46" t="str">
        <f>IF('Sections List'!$B46=5,1,"")</f>
        <v/>
      </c>
      <c r="G46" t="str">
        <f>IF('Sections List'!$B46=6,1,"")</f>
        <v/>
      </c>
      <c r="H46" t="str">
        <f>IF('Sections List'!$B46=7,1,"")</f>
        <v/>
      </c>
      <c r="I46" t="str">
        <f>IF('Sections List'!$B46=8,1,"")</f>
        <v/>
      </c>
      <c r="J46" t="str">
        <f>IF('Sections List'!$B46=9,1,"")</f>
        <v/>
      </c>
      <c r="K46" t="str">
        <f>IF('Sections List'!$B46=10,1,"")</f>
        <v/>
      </c>
      <c r="L46" t="str">
        <f>IF('Sections List'!$B46=11,1,"")</f>
        <v/>
      </c>
      <c r="M46" t="str">
        <f>IF('Sections List'!$B46=12,1,"")</f>
        <v/>
      </c>
      <c r="N46" t="str">
        <f>IF('Sections List'!$B46=13,1,"")</f>
        <v/>
      </c>
      <c r="O46" t="str">
        <f>IF('Sections List'!$B46=14,1,"")</f>
        <v/>
      </c>
      <c r="P46" t="str">
        <f>IF('Sections List'!$B46=15,1,"")</f>
        <v/>
      </c>
      <c r="Q46" t="str">
        <f>IF('Sections List'!$B46=16,1,"")</f>
        <v/>
      </c>
      <c r="R46" t="str">
        <f>IF('Sections List'!$B46=17,1,"")</f>
        <v/>
      </c>
      <c r="S46" t="str">
        <f>IF('Sections List'!$B46=18,1,"")</f>
        <v/>
      </c>
      <c r="T46" t="str">
        <f>IF('Sections List'!$B46=19,1,"")</f>
        <v/>
      </c>
      <c r="U46" t="str">
        <f>IF('Sections List'!$B46=20,1,"")</f>
        <v/>
      </c>
      <c r="V46" t="str">
        <f>IF('Sections List'!$B46=21,1,"")</f>
        <v/>
      </c>
      <c r="W46" t="str">
        <f>IF('Sections List'!$B46=22,1,"")</f>
        <v/>
      </c>
      <c r="X46" t="str">
        <f>IF('Sections List'!$B46=23,1,"")</f>
        <v/>
      </c>
      <c r="Y46" t="str">
        <f>IF('Sections List'!$B46=24,1,"")</f>
        <v/>
      </c>
      <c r="Z46" t="str">
        <f>IF('Sections List'!$B46=25,1,"")</f>
        <v/>
      </c>
      <c r="AA46" t="str">
        <f>IF('Sections List'!$B46=26,1,"")</f>
        <v/>
      </c>
      <c r="AB46" t="str">
        <f>IF('Sections List'!$B46=27,1,"")</f>
        <v/>
      </c>
      <c r="AC46" t="str">
        <f>IF('Sections List'!$B46=28,1,"")</f>
        <v/>
      </c>
    </row>
    <row r="47" spans="1:29">
      <c r="A47" s="22">
        <f>'Sections List'!A47</f>
        <v>0</v>
      </c>
      <c r="B47" t="str">
        <f>IF('Sections List'!$B47=1,1,"")</f>
        <v/>
      </c>
      <c r="C47" t="str">
        <f>IF('Sections List'!$B47=2,1,"")</f>
        <v/>
      </c>
      <c r="D47" t="str">
        <f>IF('Sections List'!$B47=3,1,"")</f>
        <v/>
      </c>
      <c r="E47" t="str">
        <f>IF('Sections List'!$B47=4,1,"")</f>
        <v/>
      </c>
      <c r="F47" t="str">
        <f>IF('Sections List'!$B47=5,1,"")</f>
        <v/>
      </c>
      <c r="G47" t="str">
        <f>IF('Sections List'!$B47=6,1,"")</f>
        <v/>
      </c>
      <c r="H47" t="str">
        <f>IF('Sections List'!$B47=7,1,"")</f>
        <v/>
      </c>
      <c r="I47" t="str">
        <f>IF('Sections List'!$B47=8,1,"")</f>
        <v/>
      </c>
      <c r="J47" t="str">
        <f>IF('Sections List'!$B47=9,1,"")</f>
        <v/>
      </c>
      <c r="K47" t="str">
        <f>IF('Sections List'!$B47=10,1,"")</f>
        <v/>
      </c>
      <c r="L47" t="str">
        <f>IF('Sections List'!$B47=11,1,"")</f>
        <v/>
      </c>
      <c r="M47" t="str">
        <f>IF('Sections List'!$B47=12,1,"")</f>
        <v/>
      </c>
      <c r="N47" t="str">
        <f>IF('Sections List'!$B47=13,1,"")</f>
        <v/>
      </c>
      <c r="O47" t="str">
        <f>IF('Sections List'!$B47=14,1,"")</f>
        <v/>
      </c>
      <c r="P47" t="str">
        <f>IF('Sections List'!$B47=15,1,"")</f>
        <v/>
      </c>
      <c r="Q47" t="str">
        <f>IF('Sections List'!$B47=16,1,"")</f>
        <v/>
      </c>
      <c r="R47" t="str">
        <f>IF('Sections List'!$B47=17,1,"")</f>
        <v/>
      </c>
      <c r="S47" t="str">
        <f>IF('Sections List'!$B47=18,1,"")</f>
        <v/>
      </c>
      <c r="T47" t="str">
        <f>IF('Sections List'!$B47=19,1,"")</f>
        <v/>
      </c>
      <c r="U47" t="str">
        <f>IF('Sections List'!$B47=20,1,"")</f>
        <v/>
      </c>
      <c r="V47" t="str">
        <f>IF('Sections List'!$B47=21,1,"")</f>
        <v/>
      </c>
      <c r="W47" t="str">
        <f>IF('Sections List'!$B47=22,1,"")</f>
        <v/>
      </c>
      <c r="X47" t="str">
        <f>IF('Sections List'!$B47=23,1,"")</f>
        <v/>
      </c>
      <c r="Y47" t="str">
        <f>IF('Sections List'!$B47=24,1,"")</f>
        <v/>
      </c>
      <c r="Z47" t="str">
        <f>IF('Sections List'!$B47=25,1,"")</f>
        <v/>
      </c>
      <c r="AA47" t="str">
        <f>IF('Sections List'!$B47=26,1,"")</f>
        <v/>
      </c>
      <c r="AB47" t="str">
        <f>IF('Sections List'!$B47=27,1,"")</f>
        <v/>
      </c>
      <c r="AC47" t="str">
        <f>IF('Sections List'!$B47=28,1,"")</f>
        <v/>
      </c>
    </row>
    <row r="48" spans="1:29">
      <c r="A48" s="22">
        <f>'Sections List'!A48</f>
        <v>0</v>
      </c>
      <c r="B48" t="str">
        <f>IF('Sections List'!$B48=1,1,"")</f>
        <v/>
      </c>
      <c r="C48" t="str">
        <f>IF('Sections List'!$B48=2,1,"")</f>
        <v/>
      </c>
      <c r="D48" t="str">
        <f>IF('Sections List'!$B48=3,1,"")</f>
        <v/>
      </c>
      <c r="E48" t="str">
        <f>IF('Sections List'!$B48=4,1,"")</f>
        <v/>
      </c>
      <c r="F48" t="str">
        <f>IF('Sections List'!$B48=5,1,"")</f>
        <v/>
      </c>
      <c r="G48" t="str">
        <f>IF('Sections List'!$B48=6,1,"")</f>
        <v/>
      </c>
      <c r="H48" t="str">
        <f>IF('Sections List'!$B48=7,1,"")</f>
        <v/>
      </c>
      <c r="I48" t="str">
        <f>IF('Sections List'!$B48=8,1,"")</f>
        <v/>
      </c>
      <c r="J48" t="str">
        <f>IF('Sections List'!$B48=9,1,"")</f>
        <v/>
      </c>
      <c r="K48" t="str">
        <f>IF('Sections List'!$B48=10,1,"")</f>
        <v/>
      </c>
      <c r="L48" t="str">
        <f>IF('Sections List'!$B48=11,1,"")</f>
        <v/>
      </c>
      <c r="M48" t="str">
        <f>IF('Sections List'!$B48=12,1,"")</f>
        <v/>
      </c>
      <c r="N48" t="str">
        <f>IF('Sections List'!$B48=13,1,"")</f>
        <v/>
      </c>
      <c r="O48" t="str">
        <f>IF('Sections List'!$B48=14,1,"")</f>
        <v/>
      </c>
      <c r="P48" t="str">
        <f>IF('Sections List'!$B48=15,1,"")</f>
        <v/>
      </c>
      <c r="Q48" t="str">
        <f>IF('Sections List'!$B48=16,1,"")</f>
        <v/>
      </c>
      <c r="R48" t="str">
        <f>IF('Sections List'!$B48=17,1,"")</f>
        <v/>
      </c>
      <c r="S48" t="str">
        <f>IF('Sections List'!$B48=18,1,"")</f>
        <v/>
      </c>
      <c r="T48" t="str">
        <f>IF('Sections List'!$B48=19,1,"")</f>
        <v/>
      </c>
      <c r="U48" t="str">
        <f>IF('Sections List'!$B48=20,1,"")</f>
        <v/>
      </c>
      <c r="V48" t="str">
        <f>IF('Sections List'!$B48=21,1,"")</f>
        <v/>
      </c>
      <c r="W48" t="str">
        <f>IF('Sections List'!$B48=22,1,"")</f>
        <v/>
      </c>
      <c r="X48" t="str">
        <f>IF('Sections List'!$B48=23,1,"")</f>
        <v/>
      </c>
      <c r="Y48" t="str">
        <f>IF('Sections List'!$B48=24,1,"")</f>
        <v/>
      </c>
      <c r="Z48" t="str">
        <f>IF('Sections List'!$B48=25,1,"")</f>
        <v/>
      </c>
      <c r="AA48" t="str">
        <f>IF('Sections List'!$B48=26,1,"")</f>
        <v/>
      </c>
      <c r="AB48" t="str">
        <f>IF('Sections List'!$B48=27,1,"")</f>
        <v/>
      </c>
      <c r="AC48" t="str">
        <f>IF('Sections List'!$B48=28,1,"")</f>
        <v/>
      </c>
    </row>
    <row r="49" spans="1:29">
      <c r="A49" s="22">
        <f>'Sections List'!A49</f>
        <v>0</v>
      </c>
      <c r="B49" t="str">
        <f>IF('Sections List'!$B49=1,1,"")</f>
        <v/>
      </c>
      <c r="C49" t="str">
        <f>IF('Sections List'!$B49=2,1,"")</f>
        <v/>
      </c>
      <c r="D49" t="str">
        <f>IF('Sections List'!$B49=3,1,"")</f>
        <v/>
      </c>
      <c r="E49" t="str">
        <f>IF('Sections List'!$B49=4,1,"")</f>
        <v/>
      </c>
      <c r="F49" t="str">
        <f>IF('Sections List'!$B49=5,1,"")</f>
        <v/>
      </c>
      <c r="G49" t="str">
        <f>IF('Sections List'!$B49=6,1,"")</f>
        <v/>
      </c>
      <c r="H49" t="str">
        <f>IF('Sections List'!$B49=7,1,"")</f>
        <v/>
      </c>
      <c r="I49" t="str">
        <f>IF('Sections List'!$B49=8,1,"")</f>
        <v/>
      </c>
      <c r="J49" t="str">
        <f>IF('Sections List'!$B49=9,1,"")</f>
        <v/>
      </c>
      <c r="K49" t="str">
        <f>IF('Sections List'!$B49=10,1,"")</f>
        <v/>
      </c>
      <c r="L49" t="str">
        <f>IF('Sections List'!$B49=11,1,"")</f>
        <v/>
      </c>
      <c r="M49" t="str">
        <f>IF('Sections List'!$B49=12,1,"")</f>
        <v/>
      </c>
      <c r="N49" t="str">
        <f>IF('Sections List'!$B49=13,1,"")</f>
        <v/>
      </c>
      <c r="O49" t="str">
        <f>IF('Sections List'!$B49=14,1,"")</f>
        <v/>
      </c>
      <c r="P49" t="str">
        <f>IF('Sections List'!$B49=15,1,"")</f>
        <v/>
      </c>
      <c r="Q49" t="str">
        <f>IF('Sections List'!$B49=16,1,"")</f>
        <v/>
      </c>
      <c r="R49" t="str">
        <f>IF('Sections List'!$B49=17,1,"")</f>
        <v/>
      </c>
      <c r="S49" t="str">
        <f>IF('Sections List'!$B49=18,1,"")</f>
        <v/>
      </c>
      <c r="T49" t="str">
        <f>IF('Sections List'!$B49=19,1,"")</f>
        <v/>
      </c>
      <c r="U49" t="str">
        <f>IF('Sections List'!$B49=20,1,"")</f>
        <v/>
      </c>
      <c r="V49" t="str">
        <f>IF('Sections List'!$B49=21,1,"")</f>
        <v/>
      </c>
      <c r="W49" t="str">
        <f>IF('Sections List'!$B49=22,1,"")</f>
        <v/>
      </c>
      <c r="X49" t="str">
        <f>IF('Sections List'!$B49=23,1,"")</f>
        <v/>
      </c>
      <c r="Y49" t="str">
        <f>IF('Sections List'!$B49=24,1,"")</f>
        <v/>
      </c>
      <c r="Z49" t="str">
        <f>IF('Sections List'!$B49=25,1,"")</f>
        <v/>
      </c>
      <c r="AA49" t="str">
        <f>IF('Sections List'!$B49=26,1,"")</f>
        <v/>
      </c>
      <c r="AB49" t="str">
        <f>IF('Sections List'!$B49=27,1,"")</f>
        <v/>
      </c>
      <c r="AC49" t="str">
        <f>IF('Sections List'!$B49=28,1,"")</f>
        <v/>
      </c>
    </row>
    <row r="50" spans="1:29">
      <c r="A50" s="22">
        <f>'Sections List'!A50</f>
        <v>0</v>
      </c>
      <c r="B50" t="str">
        <f>IF('Sections List'!$B50=1,1,"")</f>
        <v/>
      </c>
      <c r="C50" t="str">
        <f>IF('Sections List'!$B50=2,1,"")</f>
        <v/>
      </c>
      <c r="D50" t="str">
        <f>IF('Sections List'!$B50=3,1,"")</f>
        <v/>
      </c>
      <c r="E50" t="str">
        <f>IF('Sections List'!$B50=4,1,"")</f>
        <v/>
      </c>
      <c r="F50" t="str">
        <f>IF('Sections List'!$B50=5,1,"")</f>
        <v/>
      </c>
      <c r="G50" t="str">
        <f>IF('Sections List'!$B50=6,1,"")</f>
        <v/>
      </c>
      <c r="H50" t="str">
        <f>IF('Sections List'!$B50=7,1,"")</f>
        <v/>
      </c>
      <c r="I50" t="str">
        <f>IF('Sections List'!$B50=8,1,"")</f>
        <v/>
      </c>
      <c r="J50" t="str">
        <f>IF('Sections List'!$B50=9,1,"")</f>
        <v/>
      </c>
      <c r="K50" t="str">
        <f>IF('Sections List'!$B50=10,1,"")</f>
        <v/>
      </c>
      <c r="L50" t="str">
        <f>IF('Sections List'!$B50=11,1,"")</f>
        <v/>
      </c>
      <c r="M50" t="str">
        <f>IF('Sections List'!$B50=12,1,"")</f>
        <v/>
      </c>
      <c r="N50" t="str">
        <f>IF('Sections List'!$B50=13,1,"")</f>
        <v/>
      </c>
      <c r="O50" t="str">
        <f>IF('Sections List'!$B50=14,1,"")</f>
        <v/>
      </c>
      <c r="P50" t="str">
        <f>IF('Sections List'!$B50=15,1,"")</f>
        <v/>
      </c>
      <c r="Q50" t="str">
        <f>IF('Sections List'!$B50=16,1,"")</f>
        <v/>
      </c>
      <c r="R50" t="str">
        <f>IF('Sections List'!$B50=17,1,"")</f>
        <v/>
      </c>
      <c r="S50" t="str">
        <f>IF('Sections List'!$B50=18,1,"")</f>
        <v/>
      </c>
      <c r="T50" t="str">
        <f>IF('Sections List'!$B50=19,1,"")</f>
        <v/>
      </c>
      <c r="U50" t="str">
        <f>IF('Sections List'!$B50=20,1,"")</f>
        <v/>
      </c>
      <c r="V50" t="str">
        <f>IF('Sections List'!$B50=21,1,"")</f>
        <v/>
      </c>
      <c r="W50" t="str">
        <f>IF('Sections List'!$B50=22,1,"")</f>
        <v/>
      </c>
      <c r="X50" t="str">
        <f>IF('Sections List'!$B50=23,1,"")</f>
        <v/>
      </c>
      <c r="Y50" t="str">
        <f>IF('Sections List'!$B50=24,1,"")</f>
        <v/>
      </c>
      <c r="Z50" t="str">
        <f>IF('Sections List'!$B50=25,1,"")</f>
        <v/>
      </c>
      <c r="AA50" t="str">
        <f>IF('Sections List'!$B50=26,1,"")</f>
        <v/>
      </c>
      <c r="AB50" t="str">
        <f>IF('Sections List'!$B50=27,1,"")</f>
        <v/>
      </c>
      <c r="AC50" t="str">
        <f>IF('Sections List'!$B50=28,1,"")</f>
        <v/>
      </c>
    </row>
    <row r="51" spans="1:29">
      <c r="A51" s="22">
        <f>'Sections List'!A51</f>
        <v>0</v>
      </c>
      <c r="B51" t="str">
        <f>IF('Sections List'!$B51=1,1,"")</f>
        <v/>
      </c>
      <c r="C51" t="str">
        <f>IF('Sections List'!$B51=2,1,"")</f>
        <v/>
      </c>
      <c r="D51" t="str">
        <f>IF('Sections List'!$B51=3,1,"")</f>
        <v/>
      </c>
      <c r="E51" t="str">
        <f>IF('Sections List'!$B51=4,1,"")</f>
        <v/>
      </c>
      <c r="F51" t="str">
        <f>IF('Sections List'!$B51=5,1,"")</f>
        <v/>
      </c>
      <c r="G51" t="str">
        <f>IF('Sections List'!$B51=6,1,"")</f>
        <v/>
      </c>
      <c r="H51" t="str">
        <f>IF('Sections List'!$B51=7,1,"")</f>
        <v/>
      </c>
      <c r="I51" t="str">
        <f>IF('Sections List'!$B51=8,1,"")</f>
        <v/>
      </c>
      <c r="J51" t="str">
        <f>IF('Sections List'!$B51=9,1,"")</f>
        <v/>
      </c>
      <c r="K51" t="str">
        <f>IF('Sections List'!$B51=10,1,"")</f>
        <v/>
      </c>
      <c r="L51" t="str">
        <f>IF('Sections List'!$B51=11,1,"")</f>
        <v/>
      </c>
      <c r="M51" t="str">
        <f>IF('Sections List'!$B51=12,1,"")</f>
        <v/>
      </c>
      <c r="N51" t="str">
        <f>IF('Sections List'!$B51=13,1,"")</f>
        <v/>
      </c>
      <c r="O51" t="str">
        <f>IF('Sections List'!$B51=14,1,"")</f>
        <v/>
      </c>
      <c r="P51" t="str">
        <f>IF('Sections List'!$B51=15,1,"")</f>
        <v/>
      </c>
      <c r="Q51" t="str">
        <f>IF('Sections List'!$B51=16,1,"")</f>
        <v/>
      </c>
      <c r="R51" t="str">
        <f>IF('Sections List'!$B51=17,1,"")</f>
        <v/>
      </c>
      <c r="S51" t="str">
        <f>IF('Sections List'!$B51=18,1,"")</f>
        <v/>
      </c>
      <c r="T51" t="str">
        <f>IF('Sections List'!$B51=19,1,"")</f>
        <v/>
      </c>
      <c r="U51" t="str">
        <f>IF('Sections List'!$B51=20,1,"")</f>
        <v/>
      </c>
      <c r="V51" t="str">
        <f>IF('Sections List'!$B51=21,1,"")</f>
        <v/>
      </c>
      <c r="W51" t="str">
        <f>IF('Sections List'!$B51=22,1,"")</f>
        <v/>
      </c>
      <c r="X51" t="str">
        <f>IF('Sections List'!$B51=23,1,"")</f>
        <v/>
      </c>
      <c r="Y51" t="str">
        <f>IF('Sections List'!$B51=24,1,"")</f>
        <v/>
      </c>
      <c r="Z51" t="str">
        <f>IF('Sections List'!$B51=25,1,"")</f>
        <v/>
      </c>
      <c r="AA51" t="str">
        <f>IF('Sections List'!$B51=26,1,"")</f>
        <v/>
      </c>
      <c r="AB51" t="str">
        <f>IF('Sections List'!$B51=27,1,"")</f>
        <v/>
      </c>
      <c r="AC51" t="str">
        <f>IF('Sections List'!$B51=28,1,"")</f>
        <v/>
      </c>
    </row>
    <row r="52" spans="1:29">
      <c r="A52" s="22">
        <f>'Sections List'!A52</f>
        <v>0</v>
      </c>
      <c r="B52" t="str">
        <f>IF('Sections List'!$B52=1,1,"")</f>
        <v/>
      </c>
      <c r="C52" t="str">
        <f>IF('Sections List'!$B52=2,1,"")</f>
        <v/>
      </c>
      <c r="D52" t="str">
        <f>IF('Sections List'!$B52=3,1,"")</f>
        <v/>
      </c>
      <c r="E52" t="str">
        <f>IF('Sections List'!$B52=4,1,"")</f>
        <v/>
      </c>
      <c r="F52" t="str">
        <f>IF('Sections List'!$B52=5,1,"")</f>
        <v/>
      </c>
      <c r="G52" t="str">
        <f>IF('Sections List'!$B52=6,1,"")</f>
        <v/>
      </c>
      <c r="H52" t="str">
        <f>IF('Sections List'!$B52=7,1,"")</f>
        <v/>
      </c>
      <c r="I52" t="str">
        <f>IF('Sections List'!$B52=8,1,"")</f>
        <v/>
      </c>
      <c r="J52" t="str">
        <f>IF('Sections List'!$B52=9,1,"")</f>
        <v/>
      </c>
      <c r="K52" t="str">
        <f>IF('Sections List'!$B52=10,1,"")</f>
        <v/>
      </c>
      <c r="L52" t="str">
        <f>IF('Sections List'!$B52=11,1,"")</f>
        <v/>
      </c>
      <c r="M52" t="str">
        <f>IF('Sections List'!$B52=12,1,"")</f>
        <v/>
      </c>
      <c r="N52" t="str">
        <f>IF('Sections List'!$B52=13,1,"")</f>
        <v/>
      </c>
      <c r="O52" t="str">
        <f>IF('Sections List'!$B52=14,1,"")</f>
        <v/>
      </c>
      <c r="P52" t="str">
        <f>IF('Sections List'!$B52=15,1,"")</f>
        <v/>
      </c>
      <c r="Q52" t="str">
        <f>IF('Sections List'!$B52=16,1,"")</f>
        <v/>
      </c>
      <c r="R52" t="str">
        <f>IF('Sections List'!$B52=17,1,"")</f>
        <v/>
      </c>
      <c r="S52" t="str">
        <f>IF('Sections List'!$B52=18,1,"")</f>
        <v/>
      </c>
      <c r="T52" t="str">
        <f>IF('Sections List'!$B52=19,1,"")</f>
        <v/>
      </c>
      <c r="U52" t="str">
        <f>IF('Sections List'!$B52=20,1,"")</f>
        <v/>
      </c>
      <c r="V52" t="str">
        <f>IF('Sections List'!$B52=21,1,"")</f>
        <v/>
      </c>
      <c r="W52" t="str">
        <f>IF('Sections List'!$B52=22,1,"")</f>
        <v/>
      </c>
      <c r="X52" t="str">
        <f>IF('Sections List'!$B52=23,1,"")</f>
        <v/>
      </c>
      <c r="Y52" t="str">
        <f>IF('Sections List'!$B52=24,1,"")</f>
        <v/>
      </c>
      <c r="Z52" t="str">
        <f>IF('Sections List'!$B52=25,1,"")</f>
        <v/>
      </c>
      <c r="AA52" t="str">
        <f>IF('Sections List'!$B52=26,1,"")</f>
        <v/>
      </c>
      <c r="AB52" t="str">
        <f>IF('Sections List'!$B52=27,1,"")</f>
        <v/>
      </c>
      <c r="AC52" t="str">
        <f>IF('Sections List'!$B52=28,1,"")</f>
        <v/>
      </c>
    </row>
    <row r="53" spans="1:29">
      <c r="A53" s="22">
        <f>'Sections List'!A53</f>
        <v>0</v>
      </c>
      <c r="B53" t="str">
        <f>IF('Sections List'!$B53=1,1,"")</f>
        <v/>
      </c>
      <c r="C53" t="str">
        <f>IF('Sections List'!$B53=2,1,"")</f>
        <v/>
      </c>
      <c r="D53" t="str">
        <f>IF('Sections List'!$B53=3,1,"")</f>
        <v/>
      </c>
      <c r="E53" t="str">
        <f>IF('Sections List'!$B53=4,1,"")</f>
        <v/>
      </c>
      <c r="F53" t="str">
        <f>IF('Sections List'!$B53=5,1,"")</f>
        <v/>
      </c>
      <c r="G53" t="str">
        <f>IF('Sections List'!$B53=6,1,"")</f>
        <v/>
      </c>
      <c r="H53" t="str">
        <f>IF('Sections List'!$B53=7,1,"")</f>
        <v/>
      </c>
      <c r="I53" t="str">
        <f>IF('Sections List'!$B53=8,1,"")</f>
        <v/>
      </c>
      <c r="J53" t="str">
        <f>IF('Sections List'!$B53=9,1,"")</f>
        <v/>
      </c>
      <c r="K53" t="str">
        <f>IF('Sections List'!$B53=10,1,"")</f>
        <v/>
      </c>
      <c r="L53" t="str">
        <f>IF('Sections List'!$B53=11,1,"")</f>
        <v/>
      </c>
      <c r="M53" t="str">
        <f>IF('Sections List'!$B53=12,1,"")</f>
        <v/>
      </c>
      <c r="N53" t="str">
        <f>IF('Sections List'!$B53=13,1,"")</f>
        <v/>
      </c>
      <c r="O53" t="str">
        <f>IF('Sections List'!$B53=14,1,"")</f>
        <v/>
      </c>
      <c r="P53" t="str">
        <f>IF('Sections List'!$B53=15,1,"")</f>
        <v/>
      </c>
      <c r="Q53" t="str">
        <f>IF('Sections List'!$B53=16,1,"")</f>
        <v/>
      </c>
      <c r="R53" t="str">
        <f>IF('Sections List'!$B53=17,1,"")</f>
        <v/>
      </c>
      <c r="S53" t="str">
        <f>IF('Sections List'!$B53=18,1,"")</f>
        <v/>
      </c>
      <c r="T53" t="str">
        <f>IF('Sections List'!$B53=19,1,"")</f>
        <v/>
      </c>
      <c r="U53" t="str">
        <f>IF('Sections List'!$B53=20,1,"")</f>
        <v/>
      </c>
      <c r="V53" t="str">
        <f>IF('Sections List'!$B53=21,1,"")</f>
        <v/>
      </c>
      <c r="W53" t="str">
        <f>IF('Sections List'!$B53=22,1,"")</f>
        <v/>
      </c>
      <c r="X53" t="str">
        <f>IF('Sections List'!$B53=23,1,"")</f>
        <v/>
      </c>
      <c r="Y53" t="str">
        <f>IF('Sections List'!$B53=24,1,"")</f>
        <v/>
      </c>
      <c r="Z53" t="str">
        <f>IF('Sections List'!$B53=25,1,"")</f>
        <v/>
      </c>
      <c r="AA53" t="str">
        <f>IF('Sections List'!$B53=26,1,"")</f>
        <v/>
      </c>
      <c r="AB53" t="str">
        <f>IF('Sections List'!$B53=27,1,"")</f>
        <v/>
      </c>
      <c r="AC53" t="str">
        <f>IF('Sections List'!$B53=28,1,"")</f>
        <v/>
      </c>
    </row>
    <row r="54" spans="1:29">
      <c r="A54" s="22">
        <f>'Sections List'!A54</f>
        <v>0</v>
      </c>
      <c r="B54" t="str">
        <f>IF('Sections List'!$B54=1,1,"")</f>
        <v/>
      </c>
      <c r="C54" t="str">
        <f>IF('Sections List'!$B54=2,1,"")</f>
        <v/>
      </c>
      <c r="D54" t="str">
        <f>IF('Sections List'!$B54=3,1,"")</f>
        <v/>
      </c>
      <c r="E54" t="str">
        <f>IF('Sections List'!$B54=4,1,"")</f>
        <v/>
      </c>
      <c r="F54" t="str">
        <f>IF('Sections List'!$B54=5,1,"")</f>
        <v/>
      </c>
      <c r="G54" t="str">
        <f>IF('Sections List'!$B54=6,1,"")</f>
        <v/>
      </c>
      <c r="H54" t="str">
        <f>IF('Sections List'!$B54=7,1,"")</f>
        <v/>
      </c>
      <c r="I54" t="str">
        <f>IF('Sections List'!$B54=8,1,"")</f>
        <v/>
      </c>
      <c r="J54" t="str">
        <f>IF('Sections List'!$B54=9,1,"")</f>
        <v/>
      </c>
      <c r="K54" t="str">
        <f>IF('Sections List'!$B54=10,1,"")</f>
        <v/>
      </c>
      <c r="L54" t="str">
        <f>IF('Sections List'!$B54=11,1,"")</f>
        <v/>
      </c>
      <c r="M54" t="str">
        <f>IF('Sections List'!$B54=12,1,"")</f>
        <v/>
      </c>
      <c r="N54" t="str">
        <f>IF('Sections List'!$B54=13,1,"")</f>
        <v/>
      </c>
      <c r="O54" t="str">
        <f>IF('Sections List'!$B54=14,1,"")</f>
        <v/>
      </c>
      <c r="P54" t="str">
        <f>IF('Sections List'!$B54=15,1,"")</f>
        <v/>
      </c>
      <c r="Q54" t="str">
        <f>IF('Sections List'!$B54=16,1,"")</f>
        <v/>
      </c>
      <c r="R54" t="str">
        <f>IF('Sections List'!$B54=17,1,"")</f>
        <v/>
      </c>
      <c r="S54" t="str">
        <f>IF('Sections List'!$B54=18,1,"")</f>
        <v/>
      </c>
      <c r="T54" t="str">
        <f>IF('Sections List'!$B54=19,1,"")</f>
        <v/>
      </c>
      <c r="U54" t="str">
        <f>IF('Sections List'!$B54=20,1,"")</f>
        <v/>
      </c>
      <c r="V54" t="str">
        <f>IF('Sections List'!$B54=21,1,"")</f>
        <v/>
      </c>
      <c r="W54" t="str">
        <f>IF('Sections List'!$B54=22,1,"")</f>
        <v/>
      </c>
      <c r="X54" t="str">
        <f>IF('Sections List'!$B54=23,1,"")</f>
        <v/>
      </c>
      <c r="Y54" t="str">
        <f>IF('Sections List'!$B54=24,1,"")</f>
        <v/>
      </c>
      <c r="Z54" t="str">
        <f>IF('Sections List'!$B54=25,1,"")</f>
        <v/>
      </c>
      <c r="AA54" t="str">
        <f>IF('Sections List'!$B54=26,1,"")</f>
        <v/>
      </c>
      <c r="AB54" t="str">
        <f>IF('Sections List'!$B54=27,1,"")</f>
        <v/>
      </c>
      <c r="AC54" t="str">
        <f>IF('Sections List'!$B54=28,1,"")</f>
        <v/>
      </c>
    </row>
    <row r="55" spans="1:29">
      <c r="A55" s="22">
        <f>'Sections List'!A55</f>
        <v>0</v>
      </c>
      <c r="B55" t="str">
        <f>IF('Sections List'!$B55=1,1,"")</f>
        <v/>
      </c>
      <c r="C55" t="str">
        <f>IF('Sections List'!$B55=2,1,"")</f>
        <v/>
      </c>
      <c r="D55" t="str">
        <f>IF('Sections List'!$B55=3,1,"")</f>
        <v/>
      </c>
      <c r="E55" t="str">
        <f>IF('Sections List'!$B55=4,1,"")</f>
        <v/>
      </c>
      <c r="F55" t="str">
        <f>IF('Sections List'!$B55=5,1,"")</f>
        <v/>
      </c>
      <c r="G55" t="str">
        <f>IF('Sections List'!$B55=6,1,"")</f>
        <v/>
      </c>
      <c r="H55" t="str">
        <f>IF('Sections List'!$B55=7,1,"")</f>
        <v/>
      </c>
      <c r="I55" t="str">
        <f>IF('Sections List'!$B55=8,1,"")</f>
        <v/>
      </c>
      <c r="J55" t="str">
        <f>IF('Sections List'!$B55=9,1,"")</f>
        <v/>
      </c>
      <c r="K55" t="str">
        <f>IF('Sections List'!$B55=10,1,"")</f>
        <v/>
      </c>
      <c r="L55" t="str">
        <f>IF('Sections List'!$B55=11,1,"")</f>
        <v/>
      </c>
      <c r="M55" t="str">
        <f>IF('Sections List'!$B55=12,1,"")</f>
        <v/>
      </c>
      <c r="N55" t="str">
        <f>IF('Sections List'!$B55=13,1,"")</f>
        <v/>
      </c>
      <c r="O55" t="str">
        <f>IF('Sections List'!$B55=14,1,"")</f>
        <v/>
      </c>
      <c r="P55" t="str">
        <f>IF('Sections List'!$B55=15,1,"")</f>
        <v/>
      </c>
      <c r="Q55" t="str">
        <f>IF('Sections List'!$B55=16,1,"")</f>
        <v/>
      </c>
      <c r="R55" t="str">
        <f>IF('Sections List'!$B55=17,1,"")</f>
        <v/>
      </c>
      <c r="S55" t="str">
        <f>IF('Sections List'!$B55=18,1,"")</f>
        <v/>
      </c>
      <c r="T55" t="str">
        <f>IF('Sections List'!$B55=19,1,"")</f>
        <v/>
      </c>
      <c r="U55" t="str">
        <f>IF('Sections List'!$B55=20,1,"")</f>
        <v/>
      </c>
      <c r="V55" t="str">
        <f>IF('Sections List'!$B55=21,1,"")</f>
        <v/>
      </c>
      <c r="W55" t="str">
        <f>IF('Sections List'!$B55=22,1,"")</f>
        <v/>
      </c>
      <c r="X55" t="str">
        <f>IF('Sections List'!$B55=23,1,"")</f>
        <v/>
      </c>
      <c r="Y55" t="str">
        <f>IF('Sections List'!$B55=24,1,"")</f>
        <v/>
      </c>
      <c r="Z55" t="str">
        <f>IF('Sections List'!$B55=25,1,"")</f>
        <v/>
      </c>
      <c r="AA55" t="str">
        <f>IF('Sections List'!$B55=26,1,"")</f>
        <v/>
      </c>
      <c r="AB55" t="str">
        <f>IF('Sections List'!$B55=27,1,"")</f>
        <v/>
      </c>
      <c r="AC55" t="str">
        <f>IF('Sections List'!$B55=28,1,"")</f>
        <v/>
      </c>
    </row>
    <row r="56" spans="1:29">
      <c r="A56" s="22">
        <f>'Sections List'!A56</f>
        <v>0</v>
      </c>
      <c r="B56" t="str">
        <f>IF('Sections List'!$B56=1,1,"")</f>
        <v/>
      </c>
      <c r="C56" t="str">
        <f>IF('Sections List'!$B56=2,1,"")</f>
        <v/>
      </c>
      <c r="D56" t="str">
        <f>IF('Sections List'!$B56=3,1,"")</f>
        <v/>
      </c>
      <c r="E56" t="str">
        <f>IF('Sections List'!$B56=4,1,"")</f>
        <v/>
      </c>
      <c r="F56" t="str">
        <f>IF('Sections List'!$B56=5,1,"")</f>
        <v/>
      </c>
      <c r="G56" t="str">
        <f>IF('Sections List'!$B56=6,1,"")</f>
        <v/>
      </c>
      <c r="H56" t="str">
        <f>IF('Sections List'!$B56=7,1,"")</f>
        <v/>
      </c>
      <c r="I56" t="str">
        <f>IF('Sections List'!$B56=8,1,"")</f>
        <v/>
      </c>
      <c r="J56" t="str">
        <f>IF('Sections List'!$B56=9,1,"")</f>
        <v/>
      </c>
      <c r="K56" t="str">
        <f>IF('Sections List'!$B56=10,1,"")</f>
        <v/>
      </c>
      <c r="L56" t="str">
        <f>IF('Sections List'!$B56=11,1,"")</f>
        <v/>
      </c>
      <c r="M56" t="str">
        <f>IF('Sections List'!$B56=12,1,"")</f>
        <v/>
      </c>
      <c r="N56" t="str">
        <f>IF('Sections List'!$B56=13,1,"")</f>
        <v/>
      </c>
      <c r="O56" t="str">
        <f>IF('Sections List'!$B56=14,1,"")</f>
        <v/>
      </c>
      <c r="P56" t="str">
        <f>IF('Sections List'!$B56=15,1,"")</f>
        <v/>
      </c>
      <c r="Q56" t="str">
        <f>IF('Sections List'!$B56=16,1,"")</f>
        <v/>
      </c>
      <c r="R56" t="str">
        <f>IF('Sections List'!$B56=17,1,"")</f>
        <v/>
      </c>
      <c r="S56" t="str">
        <f>IF('Sections List'!$B56=18,1,"")</f>
        <v/>
      </c>
      <c r="T56" t="str">
        <f>IF('Sections List'!$B56=19,1,"")</f>
        <v/>
      </c>
      <c r="U56" t="str">
        <f>IF('Sections List'!$B56=20,1,"")</f>
        <v/>
      </c>
      <c r="V56" t="str">
        <f>IF('Sections List'!$B56=21,1,"")</f>
        <v/>
      </c>
      <c r="W56" t="str">
        <f>IF('Sections List'!$B56=22,1,"")</f>
        <v/>
      </c>
      <c r="X56" t="str">
        <f>IF('Sections List'!$B56=23,1,"")</f>
        <v/>
      </c>
      <c r="Y56" t="str">
        <f>IF('Sections List'!$B56=24,1,"")</f>
        <v/>
      </c>
      <c r="Z56" t="str">
        <f>IF('Sections List'!$B56=25,1,"")</f>
        <v/>
      </c>
      <c r="AA56" t="str">
        <f>IF('Sections List'!$B56=26,1,"")</f>
        <v/>
      </c>
      <c r="AB56" t="str">
        <f>IF('Sections List'!$B56=27,1,"")</f>
        <v/>
      </c>
      <c r="AC56" t="str">
        <f>IF('Sections List'!$B56=28,1,"")</f>
        <v/>
      </c>
    </row>
    <row r="57" spans="1:29">
      <c r="A57" s="22">
        <f>'Sections List'!A57</f>
        <v>0</v>
      </c>
      <c r="B57" t="str">
        <f>IF('Sections List'!$B57=1,1,"")</f>
        <v/>
      </c>
      <c r="C57" t="str">
        <f>IF('Sections List'!$B57=2,1,"")</f>
        <v/>
      </c>
      <c r="D57" t="str">
        <f>IF('Sections List'!$B57=3,1,"")</f>
        <v/>
      </c>
      <c r="E57" t="str">
        <f>IF('Sections List'!$B57=4,1,"")</f>
        <v/>
      </c>
      <c r="F57" t="str">
        <f>IF('Sections List'!$B57=5,1,"")</f>
        <v/>
      </c>
      <c r="G57" t="str">
        <f>IF('Sections List'!$B57=6,1,"")</f>
        <v/>
      </c>
      <c r="H57" t="str">
        <f>IF('Sections List'!$B57=7,1,"")</f>
        <v/>
      </c>
      <c r="I57" t="str">
        <f>IF('Sections List'!$B57=8,1,"")</f>
        <v/>
      </c>
      <c r="J57" t="str">
        <f>IF('Sections List'!$B57=9,1,"")</f>
        <v/>
      </c>
      <c r="K57" t="str">
        <f>IF('Sections List'!$B57=10,1,"")</f>
        <v/>
      </c>
      <c r="L57" t="str">
        <f>IF('Sections List'!$B57=11,1,"")</f>
        <v/>
      </c>
      <c r="M57" t="str">
        <f>IF('Sections List'!$B57=12,1,"")</f>
        <v/>
      </c>
      <c r="N57" t="str">
        <f>IF('Sections List'!$B57=13,1,"")</f>
        <v/>
      </c>
      <c r="O57" t="str">
        <f>IF('Sections List'!$B57=14,1,"")</f>
        <v/>
      </c>
      <c r="P57" t="str">
        <f>IF('Sections List'!$B57=15,1,"")</f>
        <v/>
      </c>
      <c r="Q57" t="str">
        <f>IF('Sections List'!$B57=16,1,"")</f>
        <v/>
      </c>
      <c r="R57" t="str">
        <f>IF('Sections List'!$B57=17,1,"")</f>
        <v/>
      </c>
      <c r="S57" t="str">
        <f>IF('Sections List'!$B57=18,1,"")</f>
        <v/>
      </c>
      <c r="T57" t="str">
        <f>IF('Sections List'!$B57=19,1,"")</f>
        <v/>
      </c>
      <c r="U57" t="str">
        <f>IF('Sections List'!$B57=20,1,"")</f>
        <v/>
      </c>
      <c r="V57" t="str">
        <f>IF('Sections List'!$B57=21,1,"")</f>
        <v/>
      </c>
      <c r="W57" t="str">
        <f>IF('Sections List'!$B57=22,1,"")</f>
        <v/>
      </c>
      <c r="X57" t="str">
        <f>IF('Sections List'!$B57=23,1,"")</f>
        <v/>
      </c>
      <c r="Y57" t="str">
        <f>IF('Sections List'!$B57=24,1,"")</f>
        <v/>
      </c>
      <c r="Z57" t="str">
        <f>IF('Sections List'!$B57=25,1,"")</f>
        <v/>
      </c>
      <c r="AA57" t="str">
        <f>IF('Sections List'!$B57=26,1,"")</f>
        <v/>
      </c>
      <c r="AB57" t="str">
        <f>IF('Sections List'!$B57=27,1,"")</f>
        <v/>
      </c>
      <c r="AC57" t="str">
        <f>IF('Sections List'!$B57=28,1,"")</f>
        <v/>
      </c>
    </row>
    <row r="58" spans="1:29">
      <c r="A58" s="22">
        <f>'Sections List'!A58</f>
        <v>0</v>
      </c>
      <c r="B58" t="str">
        <f>IF('Sections List'!$B58=1,1,"")</f>
        <v/>
      </c>
      <c r="C58" t="str">
        <f>IF('Sections List'!$B58=2,1,"")</f>
        <v/>
      </c>
      <c r="D58" t="str">
        <f>IF('Sections List'!$B58=3,1,"")</f>
        <v/>
      </c>
      <c r="E58" t="str">
        <f>IF('Sections List'!$B58=4,1,"")</f>
        <v/>
      </c>
      <c r="F58" t="str">
        <f>IF('Sections List'!$B58=5,1,"")</f>
        <v/>
      </c>
      <c r="G58" t="str">
        <f>IF('Sections List'!$B58=6,1,"")</f>
        <v/>
      </c>
      <c r="H58" t="str">
        <f>IF('Sections List'!$B58=7,1,"")</f>
        <v/>
      </c>
      <c r="I58" t="str">
        <f>IF('Sections List'!$B58=8,1,"")</f>
        <v/>
      </c>
      <c r="J58" t="str">
        <f>IF('Sections List'!$B58=9,1,"")</f>
        <v/>
      </c>
      <c r="K58" t="str">
        <f>IF('Sections List'!$B58=10,1,"")</f>
        <v/>
      </c>
      <c r="L58" t="str">
        <f>IF('Sections List'!$B58=11,1,"")</f>
        <v/>
      </c>
      <c r="M58" t="str">
        <f>IF('Sections List'!$B58=12,1,"")</f>
        <v/>
      </c>
      <c r="N58" t="str">
        <f>IF('Sections List'!$B58=13,1,"")</f>
        <v/>
      </c>
      <c r="O58" t="str">
        <f>IF('Sections List'!$B58=14,1,"")</f>
        <v/>
      </c>
      <c r="P58" t="str">
        <f>IF('Sections List'!$B58=15,1,"")</f>
        <v/>
      </c>
      <c r="Q58" t="str">
        <f>IF('Sections List'!$B58=16,1,"")</f>
        <v/>
      </c>
      <c r="R58" t="str">
        <f>IF('Sections List'!$B58=17,1,"")</f>
        <v/>
      </c>
      <c r="S58" t="str">
        <f>IF('Sections List'!$B58=18,1,"")</f>
        <v/>
      </c>
      <c r="T58" t="str">
        <f>IF('Sections List'!$B58=19,1,"")</f>
        <v/>
      </c>
      <c r="U58" t="str">
        <f>IF('Sections List'!$B58=20,1,"")</f>
        <v/>
      </c>
      <c r="V58" t="str">
        <f>IF('Sections List'!$B58=21,1,"")</f>
        <v/>
      </c>
      <c r="W58" t="str">
        <f>IF('Sections List'!$B58=22,1,"")</f>
        <v/>
      </c>
      <c r="X58" t="str">
        <f>IF('Sections List'!$B58=23,1,"")</f>
        <v/>
      </c>
      <c r="Y58" t="str">
        <f>IF('Sections List'!$B58=24,1,"")</f>
        <v/>
      </c>
      <c r="Z58" t="str">
        <f>IF('Sections List'!$B58=25,1,"")</f>
        <v/>
      </c>
      <c r="AA58" t="str">
        <f>IF('Sections List'!$B58=26,1,"")</f>
        <v/>
      </c>
      <c r="AB58" t="str">
        <f>IF('Sections List'!$B58=27,1,"")</f>
        <v/>
      </c>
      <c r="AC58" t="str">
        <f>IF('Sections List'!$B58=28,1,"")</f>
        <v/>
      </c>
    </row>
    <row r="59" spans="1:29">
      <c r="A59" s="22">
        <f>'Sections List'!A59</f>
        <v>0</v>
      </c>
      <c r="B59" t="str">
        <f>IF('Sections List'!$B59=1,1,"")</f>
        <v/>
      </c>
      <c r="C59" t="str">
        <f>IF('Sections List'!$B59=2,1,"")</f>
        <v/>
      </c>
      <c r="D59" t="str">
        <f>IF('Sections List'!$B59=3,1,"")</f>
        <v/>
      </c>
      <c r="E59" t="str">
        <f>IF('Sections List'!$B59=4,1,"")</f>
        <v/>
      </c>
      <c r="F59" t="str">
        <f>IF('Sections List'!$B59=5,1,"")</f>
        <v/>
      </c>
      <c r="G59" t="str">
        <f>IF('Sections List'!$B59=6,1,"")</f>
        <v/>
      </c>
      <c r="H59" t="str">
        <f>IF('Sections List'!$B59=7,1,"")</f>
        <v/>
      </c>
      <c r="I59" t="str">
        <f>IF('Sections List'!$B59=8,1,"")</f>
        <v/>
      </c>
      <c r="J59" t="str">
        <f>IF('Sections List'!$B59=9,1,"")</f>
        <v/>
      </c>
      <c r="K59" t="str">
        <f>IF('Sections List'!$B59=10,1,"")</f>
        <v/>
      </c>
      <c r="L59" t="str">
        <f>IF('Sections List'!$B59=11,1,"")</f>
        <v/>
      </c>
      <c r="M59" t="str">
        <f>IF('Sections List'!$B59=12,1,"")</f>
        <v/>
      </c>
      <c r="N59" t="str">
        <f>IF('Sections List'!$B59=13,1,"")</f>
        <v/>
      </c>
      <c r="O59" t="str">
        <f>IF('Sections List'!$B59=14,1,"")</f>
        <v/>
      </c>
      <c r="P59" t="str">
        <f>IF('Sections List'!$B59=15,1,"")</f>
        <v/>
      </c>
      <c r="Q59" t="str">
        <f>IF('Sections List'!$B59=16,1,"")</f>
        <v/>
      </c>
      <c r="R59" t="str">
        <f>IF('Sections List'!$B59=17,1,"")</f>
        <v/>
      </c>
      <c r="S59" t="str">
        <f>IF('Sections List'!$B59=18,1,"")</f>
        <v/>
      </c>
      <c r="T59" t="str">
        <f>IF('Sections List'!$B59=19,1,"")</f>
        <v/>
      </c>
      <c r="U59" t="str">
        <f>IF('Sections List'!$B59=20,1,"")</f>
        <v/>
      </c>
      <c r="V59" t="str">
        <f>IF('Sections List'!$B59=21,1,"")</f>
        <v/>
      </c>
      <c r="W59" t="str">
        <f>IF('Sections List'!$B59=22,1,"")</f>
        <v/>
      </c>
      <c r="X59" t="str">
        <f>IF('Sections List'!$B59=23,1,"")</f>
        <v/>
      </c>
      <c r="Y59" t="str">
        <f>IF('Sections List'!$B59=24,1,"")</f>
        <v/>
      </c>
      <c r="Z59" t="str">
        <f>IF('Sections List'!$B59=25,1,"")</f>
        <v/>
      </c>
      <c r="AA59" t="str">
        <f>IF('Sections List'!$B59=26,1,"")</f>
        <v/>
      </c>
      <c r="AB59" t="str">
        <f>IF('Sections List'!$B59=27,1,"")</f>
        <v/>
      </c>
      <c r="AC59" t="str">
        <f>IF('Sections List'!$B59=28,1,"")</f>
        <v/>
      </c>
    </row>
    <row r="60" spans="1:29">
      <c r="A60" s="22">
        <f>'Sections List'!A60</f>
        <v>0</v>
      </c>
      <c r="B60" t="str">
        <f>IF('Sections List'!$B60=1,1,"")</f>
        <v/>
      </c>
      <c r="C60" t="str">
        <f>IF('Sections List'!$B60=2,1,"")</f>
        <v/>
      </c>
      <c r="D60" t="str">
        <f>IF('Sections List'!$B60=3,1,"")</f>
        <v/>
      </c>
      <c r="E60" t="str">
        <f>IF('Sections List'!$B60=4,1,"")</f>
        <v/>
      </c>
      <c r="F60" t="str">
        <f>IF('Sections List'!$B60=5,1,"")</f>
        <v/>
      </c>
      <c r="G60" t="str">
        <f>IF('Sections List'!$B60=6,1,"")</f>
        <v/>
      </c>
      <c r="H60" t="str">
        <f>IF('Sections List'!$B60=7,1,"")</f>
        <v/>
      </c>
      <c r="I60" t="str">
        <f>IF('Sections List'!$B60=8,1,"")</f>
        <v/>
      </c>
      <c r="J60" t="str">
        <f>IF('Sections List'!$B60=9,1,"")</f>
        <v/>
      </c>
      <c r="K60" t="str">
        <f>IF('Sections List'!$B60=10,1,"")</f>
        <v/>
      </c>
      <c r="L60" t="str">
        <f>IF('Sections List'!$B60=11,1,"")</f>
        <v/>
      </c>
      <c r="M60" t="str">
        <f>IF('Sections List'!$B60=12,1,"")</f>
        <v/>
      </c>
      <c r="N60" t="str">
        <f>IF('Sections List'!$B60=13,1,"")</f>
        <v/>
      </c>
      <c r="O60" t="str">
        <f>IF('Sections List'!$B60=14,1,"")</f>
        <v/>
      </c>
      <c r="P60" t="str">
        <f>IF('Sections List'!$B60=15,1,"")</f>
        <v/>
      </c>
      <c r="Q60" t="str">
        <f>IF('Sections List'!$B60=16,1,"")</f>
        <v/>
      </c>
      <c r="R60" t="str">
        <f>IF('Sections List'!$B60=17,1,"")</f>
        <v/>
      </c>
      <c r="S60" t="str">
        <f>IF('Sections List'!$B60=18,1,"")</f>
        <v/>
      </c>
      <c r="T60" t="str">
        <f>IF('Sections List'!$B60=19,1,"")</f>
        <v/>
      </c>
      <c r="U60" t="str">
        <f>IF('Sections List'!$B60=20,1,"")</f>
        <v/>
      </c>
      <c r="V60" t="str">
        <f>IF('Sections List'!$B60=21,1,"")</f>
        <v/>
      </c>
      <c r="W60" t="str">
        <f>IF('Sections List'!$B60=22,1,"")</f>
        <v/>
      </c>
      <c r="X60" t="str">
        <f>IF('Sections List'!$B60=23,1,"")</f>
        <v/>
      </c>
      <c r="Y60" t="str">
        <f>IF('Sections List'!$B60=24,1,"")</f>
        <v/>
      </c>
      <c r="Z60" t="str">
        <f>IF('Sections List'!$B60=25,1,"")</f>
        <v/>
      </c>
      <c r="AA60" t="str">
        <f>IF('Sections List'!$B60=26,1,"")</f>
        <v/>
      </c>
      <c r="AB60" t="str">
        <f>IF('Sections List'!$B60=27,1,"")</f>
        <v/>
      </c>
      <c r="AC60" t="str">
        <f>IF('Sections List'!$B60=28,1,"")</f>
        <v/>
      </c>
    </row>
    <row r="61" spans="1:29">
      <c r="A61" s="22">
        <f>'Sections List'!A61</f>
        <v>0</v>
      </c>
      <c r="B61" t="str">
        <f>IF('Sections List'!$B61=1,1,"")</f>
        <v/>
      </c>
      <c r="C61" t="str">
        <f>IF('Sections List'!$B61=2,1,"")</f>
        <v/>
      </c>
      <c r="D61" t="str">
        <f>IF('Sections List'!$B61=3,1,"")</f>
        <v/>
      </c>
      <c r="E61" t="str">
        <f>IF('Sections List'!$B61=4,1,"")</f>
        <v/>
      </c>
      <c r="F61" t="str">
        <f>IF('Sections List'!$B61=5,1,"")</f>
        <v/>
      </c>
      <c r="G61" t="str">
        <f>IF('Sections List'!$B61=6,1,"")</f>
        <v/>
      </c>
      <c r="H61" t="str">
        <f>IF('Sections List'!$B61=7,1,"")</f>
        <v/>
      </c>
      <c r="I61" t="str">
        <f>IF('Sections List'!$B61=8,1,"")</f>
        <v/>
      </c>
      <c r="J61" t="str">
        <f>IF('Sections List'!$B61=9,1,"")</f>
        <v/>
      </c>
      <c r="K61" t="str">
        <f>IF('Sections List'!$B61=10,1,"")</f>
        <v/>
      </c>
      <c r="L61" t="str">
        <f>IF('Sections List'!$B61=11,1,"")</f>
        <v/>
      </c>
      <c r="M61" t="str">
        <f>IF('Sections List'!$B61=12,1,"")</f>
        <v/>
      </c>
      <c r="N61" t="str">
        <f>IF('Sections List'!$B61=13,1,"")</f>
        <v/>
      </c>
      <c r="O61" t="str">
        <f>IF('Sections List'!$B61=14,1,"")</f>
        <v/>
      </c>
      <c r="P61" t="str">
        <f>IF('Sections List'!$B61=15,1,"")</f>
        <v/>
      </c>
      <c r="Q61" t="str">
        <f>IF('Sections List'!$B61=16,1,"")</f>
        <v/>
      </c>
      <c r="R61" t="str">
        <f>IF('Sections List'!$B61=17,1,"")</f>
        <v/>
      </c>
      <c r="S61" t="str">
        <f>IF('Sections List'!$B61=18,1,"")</f>
        <v/>
      </c>
      <c r="T61" t="str">
        <f>IF('Sections List'!$B61=19,1,"")</f>
        <v/>
      </c>
      <c r="U61" t="str">
        <f>IF('Sections List'!$B61=20,1,"")</f>
        <v/>
      </c>
      <c r="V61" t="str">
        <f>IF('Sections List'!$B61=21,1,"")</f>
        <v/>
      </c>
      <c r="W61" t="str">
        <f>IF('Sections List'!$B61=22,1,"")</f>
        <v/>
      </c>
      <c r="X61" t="str">
        <f>IF('Sections List'!$B61=23,1,"")</f>
        <v/>
      </c>
      <c r="Y61" t="str">
        <f>IF('Sections List'!$B61=24,1,"")</f>
        <v/>
      </c>
      <c r="Z61" t="str">
        <f>IF('Sections List'!$B61=25,1,"")</f>
        <v/>
      </c>
      <c r="AA61" t="str">
        <f>IF('Sections List'!$B61=26,1,"")</f>
        <v/>
      </c>
      <c r="AB61" t="str">
        <f>IF('Sections List'!$B61=27,1,"")</f>
        <v/>
      </c>
      <c r="AC61" t="str">
        <f>IF('Sections List'!$B61=28,1,"")</f>
        <v/>
      </c>
    </row>
    <row r="62" spans="1:29">
      <c r="A62" s="22">
        <f>'Sections List'!A62</f>
        <v>0</v>
      </c>
      <c r="B62" t="str">
        <f>IF('Sections List'!$B62=1,1,"")</f>
        <v/>
      </c>
      <c r="C62" t="str">
        <f>IF('Sections List'!$B62=2,1,"")</f>
        <v/>
      </c>
      <c r="D62" t="str">
        <f>IF('Sections List'!$B62=3,1,"")</f>
        <v/>
      </c>
      <c r="E62" t="str">
        <f>IF('Sections List'!$B62=4,1,"")</f>
        <v/>
      </c>
      <c r="F62" t="str">
        <f>IF('Sections List'!$B62=5,1,"")</f>
        <v/>
      </c>
      <c r="G62" t="str">
        <f>IF('Sections List'!$B62=6,1,"")</f>
        <v/>
      </c>
      <c r="H62" t="str">
        <f>IF('Sections List'!$B62=7,1,"")</f>
        <v/>
      </c>
      <c r="I62" t="str">
        <f>IF('Sections List'!$B62=8,1,"")</f>
        <v/>
      </c>
      <c r="J62" t="str">
        <f>IF('Sections List'!$B62=9,1,"")</f>
        <v/>
      </c>
      <c r="K62" t="str">
        <f>IF('Sections List'!$B62=10,1,"")</f>
        <v/>
      </c>
      <c r="L62" t="str">
        <f>IF('Sections List'!$B62=11,1,"")</f>
        <v/>
      </c>
      <c r="M62" t="str">
        <f>IF('Sections List'!$B62=12,1,"")</f>
        <v/>
      </c>
      <c r="N62" t="str">
        <f>IF('Sections List'!$B62=13,1,"")</f>
        <v/>
      </c>
      <c r="O62" t="str">
        <f>IF('Sections List'!$B62=14,1,"")</f>
        <v/>
      </c>
      <c r="P62" t="str">
        <f>IF('Sections List'!$B62=15,1,"")</f>
        <v/>
      </c>
      <c r="Q62" t="str">
        <f>IF('Sections List'!$B62=16,1,"")</f>
        <v/>
      </c>
      <c r="R62" t="str">
        <f>IF('Sections List'!$B62=17,1,"")</f>
        <v/>
      </c>
      <c r="S62" t="str">
        <f>IF('Sections List'!$B62=18,1,"")</f>
        <v/>
      </c>
      <c r="T62" t="str">
        <f>IF('Sections List'!$B62=19,1,"")</f>
        <v/>
      </c>
      <c r="U62" t="str">
        <f>IF('Sections List'!$B62=20,1,"")</f>
        <v/>
      </c>
      <c r="V62" t="str">
        <f>IF('Sections List'!$B62=21,1,"")</f>
        <v/>
      </c>
      <c r="W62" t="str">
        <f>IF('Sections List'!$B62=22,1,"")</f>
        <v/>
      </c>
      <c r="X62" t="str">
        <f>IF('Sections List'!$B62=23,1,"")</f>
        <v/>
      </c>
      <c r="Y62" t="str">
        <f>IF('Sections List'!$B62=24,1,"")</f>
        <v/>
      </c>
      <c r="Z62" t="str">
        <f>IF('Sections List'!$B62=25,1,"")</f>
        <v/>
      </c>
      <c r="AA62" t="str">
        <f>IF('Sections List'!$B62=26,1,"")</f>
        <v/>
      </c>
      <c r="AB62" t="str">
        <f>IF('Sections List'!$B62=27,1,"")</f>
        <v/>
      </c>
      <c r="AC62" t="str">
        <f>IF('Sections List'!$B62=28,1,"")</f>
        <v/>
      </c>
    </row>
    <row r="63" spans="1:29">
      <c r="A63" s="22">
        <f>'Sections List'!A63</f>
        <v>0</v>
      </c>
      <c r="B63" t="str">
        <f>IF('Sections List'!$B63=1,1,"")</f>
        <v/>
      </c>
      <c r="C63" t="str">
        <f>IF('Sections List'!$B63=2,1,"")</f>
        <v/>
      </c>
      <c r="D63" t="str">
        <f>IF('Sections List'!$B63=3,1,"")</f>
        <v/>
      </c>
      <c r="E63" t="str">
        <f>IF('Sections List'!$B63=4,1,"")</f>
        <v/>
      </c>
      <c r="F63" t="str">
        <f>IF('Sections List'!$B63=5,1,"")</f>
        <v/>
      </c>
      <c r="G63" t="str">
        <f>IF('Sections List'!$B63=6,1,"")</f>
        <v/>
      </c>
      <c r="H63" t="str">
        <f>IF('Sections List'!$B63=7,1,"")</f>
        <v/>
      </c>
      <c r="I63" t="str">
        <f>IF('Sections List'!$B63=8,1,"")</f>
        <v/>
      </c>
      <c r="J63" t="str">
        <f>IF('Sections List'!$B63=9,1,"")</f>
        <v/>
      </c>
      <c r="K63" t="str">
        <f>IF('Sections List'!$B63=10,1,"")</f>
        <v/>
      </c>
      <c r="L63" t="str">
        <f>IF('Sections List'!$B63=11,1,"")</f>
        <v/>
      </c>
      <c r="M63" t="str">
        <f>IF('Sections List'!$B63=12,1,"")</f>
        <v/>
      </c>
      <c r="N63" t="str">
        <f>IF('Sections List'!$B63=13,1,"")</f>
        <v/>
      </c>
      <c r="O63" t="str">
        <f>IF('Sections List'!$B63=14,1,"")</f>
        <v/>
      </c>
      <c r="P63" t="str">
        <f>IF('Sections List'!$B63=15,1,"")</f>
        <v/>
      </c>
      <c r="Q63" t="str">
        <f>IF('Sections List'!$B63=16,1,"")</f>
        <v/>
      </c>
      <c r="R63" t="str">
        <f>IF('Sections List'!$B63=17,1,"")</f>
        <v/>
      </c>
      <c r="S63" t="str">
        <f>IF('Sections List'!$B63=18,1,"")</f>
        <v/>
      </c>
      <c r="T63" t="str">
        <f>IF('Sections List'!$B63=19,1,"")</f>
        <v/>
      </c>
      <c r="U63" t="str">
        <f>IF('Sections List'!$B63=20,1,"")</f>
        <v/>
      </c>
      <c r="V63" t="str">
        <f>IF('Sections List'!$B63=21,1,"")</f>
        <v/>
      </c>
      <c r="W63" t="str">
        <f>IF('Sections List'!$B63=22,1,"")</f>
        <v/>
      </c>
      <c r="X63" t="str">
        <f>IF('Sections List'!$B63=23,1,"")</f>
        <v/>
      </c>
      <c r="Y63" t="str">
        <f>IF('Sections List'!$B63=24,1,"")</f>
        <v/>
      </c>
      <c r="Z63" t="str">
        <f>IF('Sections List'!$B63=25,1,"")</f>
        <v/>
      </c>
      <c r="AA63" t="str">
        <f>IF('Sections List'!$B63=26,1,"")</f>
        <v/>
      </c>
      <c r="AB63" t="str">
        <f>IF('Sections List'!$B63=27,1,"")</f>
        <v/>
      </c>
      <c r="AC63" t="str">
        <f>IF('Sections List'!$B63=28,1,"")</f>
        <v/>
      </c>
    </row>
    <row r="64" spans="1:29">
      <c r="A64" s="22">
        <f>'Sections List'!A64</f>
        <v>0</v>
      </c>
      <c r="B64" t="str">
        <f>IF('Sections List'!$B64=1,1,"")</f>
        <v/>
      </c>
      <c r="C64" t="str">
        <f>IF('Sections List'!$B64=2,1,"")</f>
        <v/>
      </c>
      <c r="D64" t="str">
        <f>IF('Sections List'!$B64=3,1,"")</f>
        <v/>
      </c>
      <c r="E64" t="str">
        <f>IF('Sections List'!$B64=4,1,"")</f>
        <v/>
      </c>
      <c r="F64" t="str">
        <f>IF('Sections List'!$B64=5,1,"")</f>
        <v/>
      </c>
      <c r="G64" t="str">
        <f>IF('Sections List'!$B64=6,1,"")</f>
        <v/>
      </c>
      <c r="H64" t="str">
        <f>IF('Sections List'!$B64=7,1,"")</f>
        <v/>
      </c>
      <c r="I64" t="str">
        <f>IF('Sections List'!$B64=8,1,"")</f>
        <v/>
      </c>
      <c r="J64" t="str">
        <f>IF('Sections List'!$B64=9,1,"")</f>
        <v/>
      </c>
      <c r="K64" t="str">
        <f>IF('Sections List'!$B64=10,1,"")</f>
        <v/>
      </c>
      <c r="L64" t="str">
        <f>IF('Sections List'!$B64=11,1,"")</f>
        <v/>
      </c>
      <c r="M64" t="str">
        <f>IF('Sections List'!$B64=12,1,"")</f>
        <v/>
      </c>
      <c r="N64" t="str">
        <f>IF('Sections List'!$B64=13,1,"")</f>
        <v/>
      </c>
      <c r="O64" t="str">
        <f>IF('Sections List'!$B64=14,1,"")</f>
        <v/>
      </c>
      <c r="P64" t="str">
        <f>IF('Sections List'!$B64=15,1,"")</f>
        <v/>
      </c>
      <c r="Q64" t="str">
        <f>IF('Sections List'!$B64=16,1,"")</f>
        <v/>
      </c>
      <c r="R64" t="str">
        <f>IF('Sections List'!$B64=17,1,"")</f>
        <v/>
      </c>
      <c r="S64" t="str">
        <f>IF('Sections List'!$B64=18,1,"")</f>
        <v/>
      </c>
      <c r="T64" t="str">
        <f>IF('Sections List'!$B64=19,1,"")</f>
        <v/>
      </c>
      <c r="U64" t="str">
        <f>IF('Sections List'!$B64=20,1,"")</f>
        <v/>
      </c>
      <c r="V64" t="str">
        <f>IF('Sections List'!$B64=21,1,"")</f>
        <v/>
      </c>
      <c r="W64" t="str">
        <f>IF('Sections List'!$B64=22,1,"")</f>
        <v/>
      </c>
      <c r="X64" t="str">
        <f>IF('Sections List'!$B64=23,1,"")</f>
        <v/>
      </c>
      <c r="Y64" t="str">
        <f>IF('Sections List'!$B64=24,1,"")</f>
        <v/>
      </c>
      <c r="Z64" t="str">
        <f>IF('Sections List'!$B64=25,1,"")</f>
        <v/>
      </c>
      <c r="AA64" t="str">
        <f>IF('Sections List'!$B64=26,1,"")</f>
        <v/>
      </c>
      <c r="AB64" t="str">
        <f>IF('Sections List'!$B64=27,1,"")</f>
        <v/>
      </c>
      <c r="AC64" t="str">
        <f>IF('Sections List'!$B64=28,1,"")</f>
        <v/>
      </c>
    </row>
    <row r="65" spans="1:29">
      <c r="A65" s="22">
        <f>'Sections List'!A65</f>
        <v>0</v>
      </c>
      <c r="B65" t="str">
        <f>IF('Sections List'!$B65=1,1,"")</f>
        <v/>
      </c>
      <c r="C65" t="str">
        <f>IF('Sections List'!$B65=2,1,"")</f>
        <v/>
      </c>
      <c r="D65" t="str">
        <f>IF('Sections List'!$B65=3,1,"")</f>
        <v/>
      </c>
      <c r="E65" t="str">
        <f>IF('Sections List'!$B65=4,1,"")</f>
        <v/>
      </c>
      <c r="F65" t="str">
        <f>IF('Sections List'!$B65=5,1,"")</f>
        <v/>
      </c>
      <c r="G65" t="str">
        <f>IF('Sections List'!$B65=6,1,"")</f>
        <v/>
      </c>
      <c r="H65" t="str">
        <f>IF('Sections List'!$B65=7,1,"")</f>
        <v/>
      </c>
      <c r="I65" t="str">
        <f>IF('Sections List'!$B65=8,1,"")</f>
        <v/>
      </c>
      <c r="J65" t="str">
        <f>IF('Sections List'!$B65=9,1,"")</f>
        <v/>
      </c>
      <c r="K65" t="str">
        <f>IF('Sections List'!$B65=10,1,"")</f>
        <v/>
      </c>
      <c r="L65" t="str">
        <f>IF('Sections List'!$B65=11,1,"")</f>
        <v/>
      </c>
      <c r="M65" t="str">
        <f>IF('Sections List'!$B65=12,1,"")</f>
        <v/>
      </c>
      <c r="N65" t="str">
        <f>IF('Sections List'!$B65=13,1,"")</f>
        <v/>
      </c>
      <c r="O65" t="str">
        <f>IF('Sections List'!$B65=14,1,"")</f>
        <v/>
      </c>
      <c r="P65" t="str">
        <f>IF('Sections List'!$B65=15,1,"")</f>
        <v/>
      </c>
      <c r="Q65" t="str">
        <f>IF('Sections List'!$B65=16,1,"")</f>
        <v/>
      </c>
      <c r="R65" t="str">
        <f>IF('Sections List'!$B65=17,1,"")</f>
        <v/>
      </c>
      <c r="S65" t="str">
        <f>IF('Sections List'!$B65=18,1,"")</f>
        <v/>
      </c>
      <c r="T65" t="str">
        <f>IF('Sections List'!$B65=19,1,"")</f>
        <v/>
      </c>
      <c r="U65" t="str">
        <f>IF('Sections List'!$B65=20,1,"")</f>
        <v/>
      </c>
      <c r="V65" t="str">
        <f>IF('Sections List'!$B65=21,1,"")</f>
        <v/>
      </c>
      <c r="W65" t="str">
        <f>IF('Sections List'!$B65=22,1,"")</f>
        <v/>
      </c>
      <c r="X65" t="str">
        <f>IF('Sections List'!$B65=23,1,"")</f>
        <v/>
      </c>
      <c r="Y65" t="str">
        <f>IF('Sections List'!$B65=24,1,"")</f>
        <v/>
      </c>
      <c r="Z65" t="str">
        <f>IF('Sections List'!$B65=25,1,"")</f>
        <v/>
      </c>
      <c r="AA65" t="str">
        <f>IF('Sections List'!$B65=26,1,"")</f>
        <v/>
      </c>
      <c r="AB65" t="str">
        <f>IF('Sections List'!$B65=27,1,"")</f>
        <v/>
      </c>
      <c r="AC65" t="str">
        <f>IF('Sections List'!$B65=28,1,"")</f>
        <v/>
      </c>
    </row>
    <row r="66" spans="1:29">
      <c r="A66" s="22">
        <f>'Sections List'!A66</f>
        <v>0</v>
      </c>
      <c r="B66" t="str">
        <f>IF('Sections List'!$B66=1,1,"")</f>
        <v/>
      </c>
      <c r="C66" t="str">
        <f>IF('Sections List'!$B66=2,1,"")</f>
        <v/>
      </c>
      <c r="D66" t="str">
        <f>IF('Sections List'!$B66=3,1,"")</f>
        <v/>
      </c>
      <c r="E66" t="str">
        <f>IF('Sections List'!$B66=4,1,"")</f>
        <v/>
      </c>
      <c r="F66" t="str">
        <f>IF('Sections List'!$B66=5,1,"")</f>
        <v/>
      </c>
      <c r="G66" t="str">
        <f>IF('Sections List'!$B66=6,1,"")</f>
        <v/>
      </c>
      <c r="H66" t="str">
        <f>IF('Sections List'!$B66=7,1,"")</f>
        <v/>
      </c>
      <c r="I66" t="str">
        <f>IF('Sections List'!$B66=8,1,"")</f>
        <v/>
      </c>
      <c r="J66" t="str">
        <f>IF('Sections List'!$B66=9,1,"")</f>
        <v/>
      </c>
      <c r="K66" t="str">
        <f>IF('Sections List'!$B66=10,1,"")</f>
        <v/>
      </c>
      <c r="L66" t="str">
        <f>IF('Sections List'!$B66=11,1,"")</f>
        <v/>
      </c>
      <c r="M66" t="str">
        <f>IF('Sections List'!$B66=12,1,"")</f>
        <v/>
      </c>
      <c r="N66" t="str">
        <f>IF('Sections List'!$B66=13,1,"")</f>
        <v/>
      </c>
      <c r="O66" t="str">
        <f>IF('Sections List'!$B66=14,1,"")</f>
        <v/>
      </c>
      <c r="P66" t="str">
        <f>IF('Sections List'!$B66=15,1,"")</f>
        <v/>
      </c>
      <c r="Q66" t="str">
        <f>IF('Sections List'!$B66=16,1,"")</f>
        <v/>
      </c>
      <c r="R66" t="str">
        <f>IF('Sections List'!$B66=17,1,"")</f>
        <v/>
      </c>
      <c r="S66" t="str">
        <f>IF('Sections List'!$B66=18,1,"")</f>
        <v/>
      </c>
      <c r="T66" t="str">
        <f>IF('Sections List'!$B66=19,1,"")</f>
        <v/>
      </c>
      <c r="U66" t="str">
        <f>IF('Sections List'!$B66=20,1,"")</f>
        <v/>
      </c>
      <c r="V66" t="str">
        <f>IF('Sections List'!$B66=21,1,"")</f>
        <v/>
      </c>
      <c r="W66" t="str">
        <f>IF('Sections List'!$B66=22,1,"")</f>
        <v/>
      </c>
      <c r="X66" t="str">
        <f>IF('Sections List'!$B66=23,1,"")</f>
        <v/>
      </c>
      <c r="Y66" t="str">
        <f>IF('Sections List'!$B66=24,1,"")</f>
        <v/>
      </c>
      <c r="Z66" t="str">
        <f>IF('Sections List'!$B66=25,1,"")</f>
        <v/>
      </c>
      <c r="AA66" t="str">
        <f>IF('Sections List'!$B66=26,1,"")</f>
        <v/>
      </c>
      <c r="AB66" t="str">
        <f>IF('Sections List'!$B66=27,1,"")</f>
        <v/>
      </c>
      <c r="AC66" t="str">
        <f>IF('Sections List'!$B66=28,1,"")</f>
        <v/>
      </c>
    </row>
    <row r="67" spans="1:29">
      <c r="A67" s="22">
        <f>'Sections List'!A67</f>
        <v>0</v>
      </c>
      <c r="B67" t="str">
        <f>IF('Sections List'!$B67=1,1,"")</f>
        <v/>
      </c>
      <c r="C67" t="str">
        <f>IF('Sections List'!$B67=2,1,"")</f>
        <v/>
      </c>
      <c r="D67" t="str">
        <f>IF('Sections List'!$B67=3,1,"")</f>
        <v/>
      </c>
      <c r="E67" t="str">
        <f>IF('Sections List'!$B67=4,1,"")</f>
        <v/>
      </c>
      <c r="F67" t="str">
        <f>IF('Sections List'!$B67=5,1,"")</f>
        <v/>
      </c>
      <c r="G67" t="str">
        <f>IF('Sections List'!$B67=6,1,"")</f>
        <v/>
      </c>
      <c r="H67" t="str">
        <f>IF('Sections List'!$B67=7,1,"")</f>
        <v/>
      </c>
      <c r="I67" t="str">
        <f>IF('Sections List'!$B67=8,1,"")</f>
        <v/>
      </c>
      <c r="J67" t="str">
        <f>IF('Sections List'!$B67=9,1,"")</f>
        <v/>
      </c>
      <c r="K67" t="str">
        <f>IF('Sections List'!$B67=10,1,"")</f>
        <v/>
      </c>
      <c r="L67" t="str">
        <f>IF('Sections List'!$B67=11,1,"")</f>
        <v/>
      </c>
      <c r="M67" t="str">
        <f>IF('Sections List'!$B67=12,1,"")</f>
        <v/>
      </c>
      <c r="N67" t="str">
        <f>IF('Sections List'!$B67=13,1,"")</f>
        <v/>
      </c>
      <c r="O67" t="str">
        <f>IF('Sections List'!$B67=14,1,"")</f>
        <v/>
      </c>
      <c r="P67" t="str">
        <f>IF('Sections List'!$B67=15,1,"")</f>
        <v/>
      </c>
      <c r="Q67" t="str">
        <f>IF('Sections List'!$B67=16,1,"")</f>
        <v/>
      </c>
      <c r="R67" t="str">
        <f>IF('Sections List'!$B67=17,1,"")</f>
        <v/>
      </c>
      <c r="S67" t="str">
        <f>IF('Sections List'!$B67=18,1,"")</f>
        <v/>
      </c>
      <c r="T67" t="str">
        <f>IF('Sections List'!$B67=19,1,"")</f>
        <v/>
      </c>
      <c r="U67" t="str">
        <f>IF('Sections List'!$B67=20,1,"")</f>
        <v/>
      </c>
      <c r="V67" t="str">
        <f>IF('Sections List'!$B67=21,1,"")</f>
        <v/>
      </c>
      <c r="W67" t="str">
        <f>IF('Sections List'!$B67=22,1,"")</f>
        <v/>
      </c>
      <c r="X67" t="str">
        <f>IF('Sections List'!$B67=23,1,"")</f>
        <v/>
      </c>
      <c r="Y67" t="str">
        <f>IF('Sections List'!$B67=24,1,"")</f>
        <v/>
      </c>
      <c r="Z67" t="str">
        <f>IF('Sections List'!$B67=25,1,"")</f>
        <v/>
      </c>
      <c r="AA67" t="str">
        <f>IF('Sections List'!$B67=26,1,"")</f>
        <v/>
      </c>
      <c r="AB67" t="str">
        <f>IF('Sections List'!$B67=27,1,"")</f>
        <v/>
      </c>
      <c r="AC67" t="str">
        <f>IF('Sections List'!$B67=28,1,"")</f>
        <v/>
      </c>
    </row>
    <row r="68" spans="1:29">
      <c r="A68" s="22">
        <f>'Sections List'!A68</f>
        <v>0</v>
      </c>
      <c r="B68" t="str">
        <f>IF('Sections List'!$B68=1,1,"")</f>
        <v/>
      </c>
      <c r="C68" t="str">
        <f>IF('Sections List'!$B68=2,1,"")</f>
        <v/>
      </c>
      <c r="D68" t="str">
        <f>IF('Sections List'!$B68=3,1,"")</f>
        <v/>
      </c>
      <c r="E68" t="str">
        <f>IF('Sections List'!$B68=4,1,"")</f>
        <v/>
      </c>
      <c r="F68" t="str">
        <f>IF('Sections List'!$B68=5,1,"")</f>
        <v/>
      </c>
      <c r="G68" t="str">
        <f>IF('Sections List'!$B68=6,1,"")</f>
        <v/>
      </c>
      <c r="H68" t="str">
        <f>IF('Sections List'!$B68=7,1,"")</f>
        <v/>
      </c>
      <c r="I68" t="str">
        <f>IF('Sections List'!$B68=8,1,"")</f>
        <v/>
      </c>
      <c r="J68" t="str">
        <f>IF('Sections List'!$B68=9,1,"")</f>
        <v/>
      </c>
      <c r="K68" t="str">
        <f>IF('Sections List'!$B68=10,1,"")</f>
        <v/>
      </c>
      <c r="L68" t="str">
        <f>IF('Sections List'!$B68=11,1,"")</f>
        <v/>
      </c>
      <c r="M68" t="str">
        <f>IF('Sections List'!$B68=12,1,"")</f>
        <v/>
      </c>
      <c r="N68" t="str">
        <f>IF('Sections List'!$B68=13,1,"")</f>
        <v/>
      </c>
      <c r="O68" t="str">
        <f>IF('Sections List'!$B68=14,1,"")</f>
        <v/>
      </c>
      <c r="P68" t="str">
        <f>IF('Sections List'!$B68=15,1,"")</f>
        <v/>
      </c>
      <c r="Q68" t="str">
        <f>IF('Sections List'!$B68=16,1,"")</f>
        <v/>
      </c>
      <c r="R68" t="str">
        <f>IF('Sections List'!$B68=17,1,"")</f>
        <v/>
      </c>
      <c r="S68" t="str">
        <f>IF('Sections List'!$B68=18,1,"")</f>
        <v/>
      </c>
      <c r="T68" t="str">
        <f>IF('Sections List'!$B68=19,1,"")</f>
        <v/>
      </c>
      <c r="U68" t="str">
        <f>IF('Sections List'!$B68=20,1,"")</f>
        <v/>
      </c>
      <c r="V68" t="str">
        <f>IF('Sections List'!$B68=21,1,"")</f>
        <v/>
      </c>
      <c r="W68" t="str">
        <f>IF('Sections List'!$B68=22,1,"")</f>
        <v/>
      </c>
      <c r="X68" t="str">
        <f>IF('Sections List'!$B68=23,1,"")</f>
        <v/>
      </c>
      <c r="Y68" t="str">
        <f>IF('Sections List'!$B68=24,1,"")</f>
        <v/>
      </c>
      <c r="Z68" t="str">
        <f>IF('Sections List'!$B68=25,1,"")</f>
        <v/>
      </c>
      <c r="AA68" t="str">
        <f>IF('Sections List'!$B68=26,1,"")</f>
        <v/>
      </c>
      <c r="AB68" t="str">
        <f>IF('Sections List'!$B68=27,1,"")</f>
        <v/>
      </c>
      <c r="AC68" t="str">
        <f>IF('Sections List'!$B68=28,1,"")</f>
        <v/>
      </c>
    </row>
    <row r="69" spans="1:29">
      <c r="A69" s="22">
        <f>'Sections List'!A69</f>
        <v>0</v>
      </c>
      <c r="B69" t="str">
        <f>IF('Sections List'!$B69=1,1,"")</f>
        <v/>
      </c>
      <c r="C69" t="str">
        <f>IF('Sections List'!$B69=2,1,"")</f>
        <v/>
      </c>
      <c r="D69" t="str">
        <f>IF('Sections List'!$B69=3,1,"")</f>
        <v/>
      </c>
      <c r="E69" t="str">
        <f>IF('Sections List'!$B69=4,1,"")</f>
        <v/>
      </c>
      <c r="F69" t="str">
        <f>IF('Sections List'!$B69=5,1,"")</f>
        <v/>
      </c>
      <c r="G69" t="str">
        <f>IF('Sections List'!$B69=6,1,"")</f>
        <v/>
      </c>
      <c r="H69" t="str">
        <f>IF('Sections List'!$B69=7,1,"")</f>
        <v/>
      </c>
      <c r="I69" t="str">
        <f>IF('Sections List'!$B69=8,1,"")</f>
        <v/>
      </c>
      <c r="J69" t="str">
        <f>IF('Sections List'!$B69=9,1,"")</f>
        <v/>
      </c>
      <c r="K69" t="str">
        <f>IF('Sections List'!$B69=10,1,"")</f>
        <v/>
      </c>
      <c r="L69" t="str">
        <f>IF('Sections List'!$B69=11,1,"")</f>
        <v/>
      </c>
      <c r="M69" t="str">
        <f>IF('Sections List'!$B69=12,1,"")</f>
        <v/>
      </c>
      <c r="N69" t="str">
        <f>IF('Sections List'!$B69=13,1,"")</f>
        <v/>
      </c>
      <c r="O69" t="str">
        <f>IF('Sections List'!$B69=14,1,"")</f>
        <v/>
      </c>
      <c r="P69" t="str">
        <f>IF('Sections List'!$B69=15,1,"")</f>
        <v/>
      </c>
      <c r="Q69" t="str">
        <f>IF('Sections List'!$B69=16,1,"")</f>
        <v/>
      </c>
      <c r="R69" t="str">
        <f>IF('Sections List'!$B69=17,1,"")</f>
        <v/>
      </c>
      <c r="S69" t="str">
        <f>IF('Sections List'!$B69=18,1,"")</f>
        <v/>
      </c>
      <c r="T69" t="str">
        <f>IF('Sections List'!$B69=19,1,"")</f>
        <v/>
      </c>
      <c r="U69" t="str">
        <f>IF('Sections List'!$B69=20,1,"")</f>
        <v/>
      </c>
      <c r="V69" t="str">
        <f>IF('Sections List'!$B69=21,1,"")</f>
        <v/>
      </c>
      <c r="W69" t="str">
        <f>IF('Sections List'!$B69=22,1,"")</f>
        <v/>
      </c>
      <c r="X69" t="str">
        <f>IF('Sections List'!$B69=23,1,"")</f>
        <v/>
      </c>
      <c r="Y69" t="str">
        <f>IF('Sections List'!$B69=24,1,"")</f>
        <v/>
      </c>
      <c r="Z69" t="str">
        <f>IF('Sections List'!$B69=25,1,"")</f>
        <v/>
      </c>
      <c r="AA69" t="str">
        <f>IF('Sections List'!$B69=26,1,"")</f>
        <v/>
      </c>
      <c r="AB69" t="str">
        <f>IF('Sections List'!$B69=27,1,"")</f>
        <v/>
      </c>
      <c r="AC69" t="str">
        <f>IF('Sections List'!$B69=28,1,"")</f>
        <v/>
      </c>
    </row>
    <row r="70" spans="1:29">
      <c r="A70" s="22">
        <f>'Sections List'!A70</f>
        <v>0</v>
      </c>
      <c r="B70" t="str">
        <f>IF('Sections List'!$B70=1,1,"")</f>
        <v/>
      </c>
      <c r="C70" t="str">
        <f>IF('Sections List'!$B70=2,1,"")</f>
        <v/>
      </c>
      <c r="D70" t="str">
        <f>IF('Sections List'!$B70=3,1,"")</f>
        <v/>
      </c>
      <c r="E70" t="str">
        <f>IF('Sections List'!$B70=4,1,"")</f>
        <v/>
      </c>
      <c r="F70" t="str">
        <f>IF('Sections List'!$B70=5,1,"")</f>
        <v/>
      </c>
      <c r="G70" t="str">
        <f>IF('Sections List'!$B70=6,1,"")</f>
        <v/>
      </c>
      <c r="H70" t="str">
        <f>IF('Sections List'!$B70=7,1,"")</f>
        <v/>
      </c>
      <c r="I70" t="str">
        <f>IF('Sections List'!$B70=8,1,"")</f>
        <v/>
      </c>
      <c r="J70" t="str">
        <f>IF('Sections List'!$B70=9,1,"")</f>
        <v/>
      </c>
      <c r="K70" t="str">
        <f>IF('Sections List'!$B70=10,1,"")</f>
        <v/>
      </c>
      <c r="L70" t="str">
        <f>IF('Sections List'!$B70=11,1,"")</f>
        <v/>
      </c>
      <c r="M70" t="str">
        <f>IF('Sections List'!$B70=12,1,"")</f>
        <v/>
      </c>
      <c r="N70" t="str">
        <f>IF('Sections List'!$B70=13,1,"")</f>
        <v/>
      </c>
      <c r="O70" t="str">
        <f>IF('Sections List'!$B70=14,1,"")</f>
        <v/>
      </c>
      <c r="P70" t="str">
        <f>IF('Sections List'!$B70=15,1,"")</f>
        <v/>
      </c>
      <c r="Q70" t="str">
        <f>IF('Sections List'!$B70=16,1,"")</f>
        <v/>
      </c>
      <c r="R70" t="str">
        <f>IF('Sections List'!$B70=17,1,"")</f>
        <v/>
      </c>
      <c r="S70" t="str">
        <f>IF('Sections List'!$B70=18,1,"")</f>
        <v/>
      </c>
      <c r="T70" t="str">
        <f>IF('Sections List'!$B70=19,1,"")</f>
        <v/>
      </c>
      <c r="U70" t="str">
        <f>IF('Sections List'!$B70=20,1,"")</f>
        <v/>
      </c>
      <c r="V70" t="str">
        <f>IF('Sections List'!$B70=21,1,"")</f>
        <v/>
      </c>
      <c r="W70" t="str">
        <f>IF('Sections List'!$B70=22,1,"")</f>
        <v/>
      </c>
      <c r="X70" t="str">
        <f>IF('Sections List'!$B70=23,1,"")</f>
        <v/>
      </c>
      <c r="Y70" t="str">
        <f>IF('Sections List'!$B70=24,1,"")</f>
        <v/>
      </c>
      <c r="Z70" t="str">
        <f>IF('Sections List'!$B70=25,1,"")</f>
        <v/>
      </c>
      <c r="AA70" t="str">
        <f>IF('Sections List'!$B70=26,1,"")</f>
        <v/>
      </c>
      <c r="AB70" t="str">
        <f>IF('Sections List'!$B70=27,1,"")</f>
        <v/>
      </c>
      <c r="AC70" t="str">
        <f>IF('Sections List'!$B70=28,1,"")</f>
        <v/>
      </c>
    </row>
    <row r="71" spans="1:29">
      <c r="A71" s="22">
        <f>'Sections List'!A71</f>
        <v>0</v>
      </c>
      <c r="B71" t="str">
        <f>IF('Sections List'!$B71=1,1,"")</f>
        <v/>
      </c>
      <c r="C71" t="str">
        <f>IF('Sections List'!$B71=2,1,"")</f>
        <v/>
      </c>
      <c r="D71" t="str">
        <f>IF('Sections List'!$B71=3,1,"")</f>
        <v/>
      </c>
      <c r="E71" t="str">
        <f>IF('Sections List'!$B71=4,1,"")</f>
        <v/>
      </c>
      <c r="F71" t="str">
        <f>IF('Sections List'!$B71=5,1,"")</f>
        <v/>
      </c>
      <c r="G71" t="str">
        <f>IF('Sections List'!$B71=6,1,"")</f>
        <v/>
      </c>
      <c r="H71" t="str">
        <f>IF('Sections List'!$B71=7,1,"")</f>
        <v/>
      </c>
      <c r="I71" t="str">
        <f>IF('Sections List'!$B71=8,1,"")</f>
        <v/>
      </c>
      <c r="J71" t="str">
        <f>IF('Sections List'!$B71=9,1,"")</f>
        <v/>
      </c>
      <c r="K71" t="str">
        <f>IF('Sections List'!$B71=10,1,"")</f>
        <v/>
      </c>
      <c r="L71" t="str">
        <f>IF('Sections List'!$B71=11,1,"")</f>
        <v/>
      </c>
      <c r="M71" t="str">
        <f>IF('Sections List'!$B71=12,1,"")</f>
        <v/>
      </c>
      <c r="N71" t="str">
        <f>IF('Sections List'!$B71=13,1,"")</f>
        <v/>
      </c>
      <c r="O71" t="str">
        <f>IF('Sections List'!$B71=14,1,"")</f>
        <v/>
      </c>
      <c r="P71" t="str">
        <f>IF('Sections List'!$B71=15,1,"")</f>
        <v/>
      </c>
      <c r="Q71" t="str">
        <f>IF('Sections List'!$B71=16,1,"")</f>
        <v/>
      </c>
      <c r="R71" t="str">
        <f>IF('Sections List'!$B71=17,1,"")</f>
        <v/>
      </c>
      <c r="S71" t="str">
        <f>IF('Sections List'!$B71=18,1,"")</f>
        <v/>
      </c>
      <c r="T71" t="str">
        <f>IF('Sections List'!$B71=19,1,"")</f>
        <v/>
      </c>
      <c r="U71" t="str">
        <f>IF('Sections List'!$B71=20,1,"")</f>
        <v/>
      </c>
      <c r="V71" t="str">
        <f>IF('Sections List'!$B71=21,1,"")</f>
        <v/>
      </c>
      <c r="W71" t="str">
        <f>IF('Sections List'!$B71=22,1,"")</f>
        <v/>
      </c>
      <c r="X71" t="str">
        <f>IF('Sections List'!$B71=23,1,"")</f>
        <v/>
      </c>
      <c r="Y71" t="str">
        <f>IF('Sections List'!$B71=24,1,"")</f>
        <v/>
      </c>
      <c r="Z71" t="str">
        <f>IF('Sections List'!$B71=25,1,"")</f>
        <v/>
      </c>
      <c r="AA71" t="str">
        <f>IF('Sections List'!$B71=26,1,"")</f>
        <v/>
      </c>
      <c r="AB71" t="str">
        <f>IF('Sections List'!$B71=27,1,"")</f>
        <v/>
      </c>
      <c r="AC71" t="str">
        <f>IF('Sections List'!$B71=28,1,"")</f>
        <v/>
      </c>
    </row>
    <row r="72" spans="1:29">
      <c r="A72" s="22">
        <f>'Sections List'!A72</f>
        <v>0</v>
      </c>
      <c r="B72" t="str">
        <f>IF('Sections List'!$B72=1,1,"")</f>
        <v/>
      </c>
      <c r="C72" t="str">
        <f>IF('Sections List'!$B72=2,1,"")</f>
        <v/>
      </c>
      <c r="D72" t="str">
        <f>IF('Sections List'!$B72=3,1,"")</f>
        <v/>
      </c>
      <c r="E72" t="str">
        <f>IF('Sections List'!$B72=4,1,"")</f>
        <v/>
      </c>
      <c r="F72" t="str">
        <f>IF('Sections List'!$B72=5,1,"")</f>
        <v/>
      </c>
      <c r="G72" t="str">
        <f>IF('Sections List'!$B72=6,1,"")</f>
        <v/>
      </c>
      <c r="H72" t="str">
        <f>IF('Sections List'!$B72=7,1,"")</f>
        <v/>
      </c>
      <c r="I72" t="str">
        <f>IF('Sections List'!$B72=8,1,"")</f>
        <v/>
      </c>
      <c r="J72" t="str">
        <f>IF('Sections List'!$B72=9,1,"")</f>
        <v/>
      </c>
      <c r="K72" t="str">
        <f>IF('Sections List'!$B72=10,1,"")</f>
        <v/>
      </c>
      <c r="L72" t="str">
        <f>IF('Sections List'!$B72=11,1,"")</f>
        <v/>
      </c>
      <c r="M72" t="str">
        <f>IF('Sections List'!$B72=12,1,"")</f>
        <v/>
      </c>
      <c r="N72" t="str">
        <f>IF('Sections List'!$B72=13,1,"")</f>
        <v/>
      </c>
      <c r="O72" t="str">
        <f>IF('Sections List'!$B72=14,1,"")</f>
        <v/>
      </c>
      <c r="P72" t="str">
        <f>IF('Sections List'!$B72=15,1,"")</f>
        <v/>
      </c>
      <c r="Q72" t="str">
        <f>IF('Sections List'!$B72=16,1,"")</f>
        <v/>
      </c>
      <c r="R72" t="str">
        <f>IF('Sections List'!$B72=17,1,"")</f>
        <v/>
      </c>
      <c r="S72" t="str">
        <f>IF('Sections List'!$B72=18,1,"")</f>
        <v/>
      </c>
      <c r="T72" t="str">
        <f>IF('Sections List'!$B72=19,1,"")</f>
        <v/>
      </c>
      <c r="U72" t="str">
        <f>IF('Sections List'!$B72=20,1,"")</f>
        <v/>
      </c>
      <c r="V72" t="str">
        <f>IF('Sections List'!$B72=21,1,"")</f>
        <v/>
      </c>
      <c r="W72" t="str">
        <f>IF('Sections List'!$B72=22,1,"")</f>
        <v/>
      </c>
      <c r="X72" t="str">
        <f>IF('Sections List'!$B72=23,1,"")</f>
        <v/>
      </c>
      <c r="Y72" t="str">
        <f>IF('Sections List'!$B72=24,1,"")</f>
        <v/>
      </c>
      <c r="Z72" t="str">
        <f>IF('Sections List'!$B72=25,1,"")</f>
        <v/>
      </c>
      <c r="AA72" t="str">
        <f>IF('Sections List'!$B72=26,1,"")</f>
        <v/>
      </c>
      <c r="AB72" t="str">
        <f>IF('Sections List'!$B72=27,1,"")</f>
        <v/>
      </c>
      <c r="AC72" t="str">
        <f>IF('Sections List'!$B72=28,1,"")</f>
        <v/>
      </c>
    </row>
    <row r="73" spans="1:29">
      <c r="A73" s="22">
        <f>'Sections List'!A73</f>
        <v>0</v>
      </c>
      <c r="B73" t="str">
        <f>IF('Sections List'!$B73=1,1,"")</f>
        <v/>
      </c>
      <c r="C73" t="str">
        <f>IF('Sections List'!$B73=2,1,"")</f>
        <v/>
      </c>
      <c r="D73" t="str">
        <f>IF('Sections List'!$B73=3,1,"")</f>
        <v/>
      </c>
      <c r="E73" t="str">
        <f>IF('Sections List'!$B73=4,1,"")</f>
        <v/>
      </c>
      <c r="F73" t="str">
        <f>IF('Sections List'!$B73=5,1,"")</f>
        <v/>
      </c>
      <c r="G73" t="str">
        <f>IF('Sections List'!$B73=6,1,"")</f>
        <v/>
      </c>
      <c r="H73" t="str">
        <f>IF('Sections List'!$B73=7,1,"")</f>
        <v/>
      </c>
      <c r="I73" t="str">
        <f>IF('Sections List'!$B73=8,1,"")</f>
        <v/>
      </c>
      <c r="J73" t="str">
        <f>IF('Sections List'!$B73=9,1,"")</f>
        <v/>
      </c>
      <c r="K73" t="str">
        <f>IF('Sections List'!$B73=10,1,"")</f>
        <v/>
      </c>
      <c r="L73" t="str">
        <f>IF('Sections List'!$B73=11,1,"")</f>
        <v/>
      </c>
      <c r="M73" t="str">
        <f>IF('Sections List'!$B73=12,1,"")</f>
        <v/>
      </c>
      <c r="N73" t="str">
        <f>IF('Sections List'!$B73=13,1,"")</f>
        <v/>
      </c>
      <c r="O73" t="str">
        <f>IF('Sections List'!$B73=14,1,"")</f>
        <v/>
      </c>
      <c r="P73" t="str">
        <f>IF('Sections List'!$B73=15,1,"")</f>
        <v/>
      </c>
      <c r="Q73" t="str">
        <f>IF('Sections List'!$B73=16,1,"")</f>
        <v/>
      </c>
      <c r="R73" t="str">
        <f>IF('Sections List'!$B73=17,1,"")</f>
        <v/>
      </c>
      <c r="S73" t="str">
        <f>IF('Sections List'!$B73=18,1,"")</f>
        <v/>
      </c>
      <c r="T73" t="str">
        <f>IF('Sections List'!$B73=19,1,"")</f>
        <v/>
      </c>
      <c r="U73" t="str">
        <f>IF('Sections List'!$B73=20,1,"")</f>
        <v/>
      </c>
      <c r="V73" t="str">
        <f>IF('Sections List'!$B73=21,1,"")</f>
        <v/>
      </c>
      <c r="W73" t="str">
        <f>IF('Sections List'!$B73=22,1,"")</f>
        <v/>
      </c>
      <c r="X73" t="str">
        <f>IF('Sections List'!$B73=23,1,"")</f>
        <v/>
      </c>
      <c r="Y73" t="str">
        <f>IF('Sections List'!$B73=24,1,"")</f>
        <v/>
      </c>
      <c r="Z73" t="str">
        <f>IF('Sections List'!$B73=25,1,"")</f>
        <v/>
      </c>
      <c r="AA73" t="str">
        <f>IF('Sections List'!$B73=26,1,"")</f>
        <v/>
      </c>
      <c r="AB73" t="str">
        <f>IF('Sections List'!$B73=27,1,"")</f>
        <v/>
      </c>
      <c r="AC73" t="str">
        <f>IF('Sections List'!$B73=28,1,"")</f>
        <v/>
      </c>
    </row>
    <row r="74" spans="1:29">
      <c r="A74" s="22">
        <f>'Sections List'!A74</f>
        <v>0</v>
      </c>
      <c r="B74" t="str">
        <f>IF('Sections List'!$B74=1,1,"")</f>
        <v/>
      </c>
      <c r="C74" t="str">
        <f>IF('Sections List'!$B74=2,1,"")</f>
        <v/>
      </c>
      <c r="D74" t="str">
        <f>IF('Sections List'!$B74=3,1,"")</f>
        <v/>
      </c>
      <c r="E74" t="str">
        <f>IF('Sections List'!$B74=4,1,"")</f>
        <v/>
      </c>
      <c r="F74" t="str">
        <f>IF('Sections List'!$B74=5,1,"")</f>
        <v/>
      </c>
      <c r="G74" t="str">
        <f>IF('Sections List'!$B74=6,1,"")</f>
        <v/>
      </c>
      <c r="H74" t="str">
        <f>IF('Sections List'!$B74=7,1,"")</f>
        <v/>
      </c>
      <c r="I74" t="str">
        <f>IF('Sections List'!$B74=8,1,"")</f>
        <v/>
      </c>
      <c r="J74" t="str">
        <f>IF('Sections List'!$B74=9,1,"")</f>
        <v/>
      </c>
      <c r="K74" t="str">
        <f>IF('Sections List'!$B74=10,1,"")</f>
        <v/>
      </c>
      <c r="L74" t="str">
        <f>IF('Sections List'!$B74=11,1,"")</f>
        <v/>
      </c>
      <c r="M74" t="str">
        <f>IF('Sections List'!$B74=12,1,"")</f>
        <v/>
      </c>
      <c r="N74" t="str">
        <f>IF('Sections List'!$B74=13,1,"")</f>
        <v/>
      </c>
      <c r="O74" t="str">
        <f>IF('Sections List'!$B74=14,1,"")</f>
        <v/>
      </c>
      <c r="P74" t="str">
        <f>IF('Sections List'!$B74=15,1,"")</f>
        <v/>
      </c>
      <c r="Q74" t="str">
        <f>IF('Sections List'!$B74=16,1,"")</f>
        <v/>
      </c>
      <c r="R74" t="str">
        <f>IF('Sections List'!$B74=17,1,"")</f>
        <v/>
      </c>
      <c r="S74" t="str">
        <f>IF('Sections List'!$B74=18,1,"")</f>
        <v/>
      </c>
      <c r="T74" t="str">
        <f>IF('Sections List'!$B74=19,1,"")</f>
        <v/>
      </c>
      <c r="U74" t="str">
        <f>IF('Sections List'!$B74=20,1,"")</f>
        <v/>
      </c>
      <c r="V74" t="str">
        <f>IF('Sections List'!$B74=21,1,"")</f>
        <v/>
      </c>
      <c r="W74" t="str">
        <f>IF('Sections List'!$B74=22,1,"")</f>
        <v/>
      </c>
      <c r="X74" t="str">
        <f>IF('Sections List'!$B74=23,1,"")</f>
        <v/>
      </c>
      <c r="Y74" t="str">
        <f>IF('Sections List'!$B74=24,1,"")</f>
        <v/>
      </c>
      <c r="Z74" t="str">
        <f>IF('Sections List'!$B74=25,1,"")</f>
        <v/>
      </c>
      <c r="AA74" t="str">
        <f>IF('Sections List'!$B74=26,1,"")</f>
        <v/>
      </c>
      <c r="AB74" t="str">
        <f>IF('Sections List'!$B74=27,1,"")</f>
        <v/>
      </c>
      <c r="AC74" t="str">
        <f>IF('Sections List'!$B74=28,1,"")</f>
        <v/>
      </c>
    </row>
    <row r="75" spans="1:29">
      <c r="A75" s="22">
        <f>'Sections List'!A75</f>
        <v>0</v>
      </c>
      <c r="B75" t="str">
        <f>IF('Sections List'!$B75=1,1,"")</f>
        <v/>
      </c>
      <c r="C75" t="str">
        <f>IF('Sections List'!$B75=2,1,"")</f>
        <v/>
      </c>
      <c r="D75" t="str">
        <f>IF('Sections List'!$B75=3,1,"")</f>
        <v/>
      </c>
      <c r="E75" t="str">
        <f>IF('Sections List'!$B75=4,1,"")</f>
        <v/>
      </c>
      <c r="F75" t="str">
        <f>IF('Sections List'!$B75=5,1,"")</f>
        <v/>
      </c>
      <c r="G75" t="str">
        <f>IF('Sections List'!$B75=6,1,"")</f>
        <v/>
      </c>
      <c r="H75" t="str">
        <f>IF('Sections List'!$B75=7,1,"")</f>
        <v/>
      </c>
      <c r="I75" t="str">
        <f>IF('Sections List'!$B75=8,1,"")</f>
        <v/>
      </c>
      <c r="J75" t="str">
        <f>IF('Sections List'!$B75=9,1,"")</f>
        <v/>
      </c>
      <c r="K75" t="str">
        <f>IF('Sections List'!$B75=10,1,"")</f>
        <v/>
      </c>
      <c r="L75" t="str">
        <f>IF('Sections List'!$B75=11,1,"")</f>
        <v/>
      </c>
      <c r="M75" t="str">
        <f>IF('Sections List'!$B75=12,1,"")</f>
        <v/>
      </c>
      <c r="N75" t="str">
        <f>IF('Sections List'!$B75=13,1,"")</f>
        <v/>
      </c>
      <c r="O75" t="str">
        <f>IF('Sections List'!$B75=14,1,"")</f>
        <v/>
      </c>
      <c r="P75" t="str">
        <f>IF('Sections List'!$B75=15,1,"")</f>
        <v/>
      </c>
      <c r="Q75" t="str">
        <f>IF('Sections List'!$B75=16,1,"")</f>
        <v/>
      </c>
      <c r="R75" t="str">
        <f>IF('Sections List'!$B75=17,1,"")</f>
        <v/>
      </c>
      <c r="S75" t="str">
        <f>IF('Sections List'!$B75=18,1,"")</f>
        <v/>
      </c>
      <c r="T75" t="str">
        <f>IF('Sections List'!$B75=19,1,"")</f>
        <v/>
      </c>
      <c r="U75" t="str">
        <f>IF('Sections List'!$B75=20,1,"")</f>
        <v/>
      </c>
      <c r="V75" t="str">
        <f>IF('Sections List'!$B75=21,1,"")</f>
        <v/>
      </c>
      <c r="W75" t="str">
        <f>IF('Sections List'!$B75=22,1,"")</f>
        <v/>
      </c>
      <c r="X75" t="str">
        <f>IF('Sections List'!$B75=23,1,"")</f>
        <v/>
      </c>
      <c r="Y75" t="str">
        <f>IF('Sections List'!$B75=24,1,"")</f>
        <v/>
      </c>
      <c r="Z75" t="str">
        <f>IF('Sections List'!$B75=25,1,"")</f>
        <v/>
      </c>
      <c r="AA75" t="str">
        <f>IF('Sections List'!$B75=26,1,"")</f>
        <v/>
      </c>
      <c r="AB75" t="str">
        <f>IF('Sections List'!$B75=27,1,"")</f>
        <v/>
      </c>
      <c r="AC75" t="str">
        <f>IF('Sections List'!$B75=28,1,"")</f>
        <v/>
      </c>
    </row>
    <row r="76" spans="1:29">
      <c r="A76" s="22">
        <f>'Sections List'!A76</f>
        <v>0</v>
      </c>
      <c r="B76" t="str">
        <f>IF('Sections List'!$B76=1,1,"")</f>
        <v/>
      </c>
      <c r="C76" t="str">
        <f>IF('Sections List'!$B76=2,1,"")</f>
        <v/>
      </c>
      <c r="D76" t="str">
        <f>IF('Sections List'!$B76=3,1,"")</f>
        <v/>
      </c>
      <c r="E76" t="str">
        <f>IF('Sections List'!$B76=4,1,"")</f>
        <v/>
      </c>
      <c r="F76" t="str">
        <f>IF('Sections List'!$B76=5,1,"")</f>
        <v/>
      </c>
      <c r="G76" t="str">
        <f>IF('Sections List'!$B76=6,1,"")</f>
        <v/>
      </c>
      <c r="H76" t="str">
        <f>IF('Sections List'!$B76=7,1,"")</f>
        <v/>
      </c>
      <c r="I76" t="str">
        <f>IF('Sections List'!$B76=8,1,"")</f>
        <v/>
      </c>
      <c r="J76" t="str">
        <f>IF('Sections List'!$B76=9,1,"")</f>
        <v/>
      </c>
      <c r="K76" t="str">
        <f>IF('Sections List'!$B76=10,1,"")</f>
        <v/>
      </c>
      <c r="L76" t="str">
        <f>IF('Sections List'!$B76=11,1,"")</f>
        <v/>
      </c>
      <c r="M76" t="str">
        <f>IF('Sections List'!$B76=12,1,"")</f>
        <v/>
      </c>
      <c r="N76" t="str">
        <f>IF('Sections List'!$B76=13,1,"")</f>
        <v/>
      </c>
      <c r="O76" t="str">
        <f>IF('Sections List'!$B76=14,1,"")</f>
        <v/>
      </c>
      <c r="P76" t="str">
        <f>IF('Sections List'!$B76=15,1,"")</f>
        <v/>
      </c>
      <c r="Q76" t="str">
        <f>IF('Sections List'!$B76=16,1,"")</f>
        <v/>
      </c>
      <c r="R76" t="str">
        <f>IF('Sections List'!$B76=17,1,"")</f>
        <v/>
      </c>
      <c r="S76" t="str">
        <f>IF('Sections List'!$B76=18,1,"")</f>
        <v/>
      </c>
      <c r="T76" t="str">
        <f>IF('Sections List'!$B76=19,1,"")</f>
        <v/>
      </c>
      <c r="U76" t="str">
        <f>IF('Sections List'!$B76=20,1,"")</f>
        <v/>
      </c>
      <c r="V76" t="str">
        <f>IF('Sections List'!$B76=21,1,"")</f>
        <v/>
      </c>
      <c r="W76" t="str">
        <f>IF('Sections List'!$B76=22,1,"")</f>
        <v/>
      </c>
      <c r="X76" t="str">
        <f>IF('Sections List'!$B76=23,1,"")</f>
        <v/>
      </c>
      <c r="Y76" t="str">
        <f>IF('Sections List'!$B76=24,1,"")</f>
        <v/>
      </c>
      <c r="Z76" t="str">
        <f>IF('Sections List'!$B76=25,1,"")</f>
        <v/>
      </c>
      <c r="AA76" t="str">
        <f>IF('Sections List'!$B76=26,1,"")</f>
        <v/>
      </c>
      <c r="AB76" t="str">
        <f>IF('Sections List'!$B76=27,1,"")</f>
        <v/>
      </c>
      <c r="AC76" t="str">
        <f>IF('Sections List'!$B76=28,1,"")</f>
        <v/>
      </c>
    </row>
    <row r="77" spans="1:29">
      <c r="A77" s="22">
        <f>'Sections List'!A77</f>
        <v>0</v>
      </c>
      <c r="B77" t="str">
        <f>IF('Sections List'!$B77=1,1,"")</f>
        <v/>
      </c>
      <c r="C77" t="str">
        <f>IF('Sections List'!$B77=2,1,"")</f>
        <v/>
      </c>
      <c r="D77" t="str">
        <f>IF('Sections List'!$B77=3,1,"")</f>
        <v/>
      </c>
      <c r="E77" t="str">
        <f>IF('Sections List'!$B77=4,1,"")</f>
        <v/>
      </c>
      <c r="F77" t="str">
        <f>IF('Sections List'!$B77=5,1,"")</f>
        <v/>
      </c>
      <c r="G77" t="str">
        <f>IF('Sections List'!$B77=6,1,"")</f>
        <v/>
      </c>
      <c r="H77" t="str">
        <f>IF('Sections List'!$B77=7,1,"")</f>
        <v/>
      </c>
      <c r="I77" t="str">
        <f>IF('Sections List'!$B77=8,1,"")</f>
        <v/>
      </c>
      <c r="J77" t="str">
        <f>IF('Sections List'!$B77=9,1,"")</f>
        <v/>
      </c>
      <c r="K77" t="str">
        <f>IF('Sections List'!$B77=10,1,"")</f>
        <v/>
      </c>
      <c r="L77" t="str">
        <f>IF('Sections List'!$B77=11,1,"")</f>
        <v/>
      </c>
      <c r="M77" t="str">
        <f>IF('Sections List'!$B77=12,1,"")</f>
        <v/>
      </c>
      <c r="N77" t="str">
        <f>IF('Sections List'!$B77=13,1,"")</f>
        <v/>
      </c>
      <c r="O77" t="str">
        <f>IF('Sections List'!$B77=14,1,"")</f>
        <v/>
      </c>
      <c r="P77" t="str">
        <f>IF('Sections List'!$B77=15,1,"")</f>
        <v/>
      </c>
      <c r="Q77" t="str">
        <f>IF('Sections List'!$B77=16,1,"")</f>
        <v/>
      </c>
      <c r="R77" t="str">
        <f>IF('Sections List'!$B77=17,1,"")</f>
        <v/>
      </c>
      <c r="S77" t="str">
        <f>IF('Sections List'!$B77=18,1,"")</f>
        <v/>
      </c>
      <c r="T77" t="str">
        <f>IF('Sections List'!$B77=19,1,"")</f>
        <v/>
      </c>
      <c r="U77" t="str">
        <f>IF('Sections List'!$B77=20,1,"")</f>
        <v/>
      </c>
      <c r="V77" t="str">
        <f>IF('Sections List'!$B77=21,1,"")</f>
        <v/>
      </c>
      <c r="W77" t="str">
        <f>IF('Sections List'!$B77=22,1,"")</f>
        <v/>
      </c>
      <c r="X77" t="str">
        <f>IF('Sections List'!$B77=23,1,"")</f>
        <v/>
      </c>
      <c r="Y77" t="str">
        <f>IF('Sections List'!$B77=24,1,"")</f>
        <v/>
      </c>
      <c r="Z77" t="str">
        <f>IF('Sections List'!$B77=25,1,"")</f>
        <v/>
      </c>
      <c r="AA77" t="str">
        <f>IF('Sections List'!$B77=26,1,"")</f>
        <v/>
      </c>
      <c r="AB77" t="str">
        <f>IF('Sections List'!$B77=27,1,"")</f>
        <v/>
      </c>
      <c r="AC77" t="str">
        <f>IF('Sections List'!$B77=28,1,"")</f>
        <v/>
      </c>
    </row>
    <row r="78" spans="1:29">
      <c r="A78" s="22">
        <f>'Sections List'!A78</f>
        <v>0</v>
      </c>
      <c r="B78" t="str">
        <f>IF('Sections List'!$B78=1,1,"")</f>
        <v/>
      </c>
      <c r="C78" t="str">
        <f>IF('Sections List'!$B78=2,1,"")</f>
        <v/>
      </c>
      <c r="D78" t="str">
        <f>IF('Sections List'!$B78=3,1,"")</f>
        <v/>
      </c>
      <c r="E78" t="str">
        <f>IF('Sections List'!$B78=4,1,"")</f>
        <v/>
      </c>
      <c r="F78" t="str">
        <f>IF('Sections List'!$B78=5,1,"")</f>
        <v/>
      </c>
      <c r="G78" t="str">
        <f>IF('Sections List'!$B78=6,1,"")</f>
        <v/>
      </c>
      <c r="H78" t="str">
        <f>IF('Sections List'!$B78=7,1,"")</f>
        <v/>
      </c>
      <c r="I78" t="str">
        <f>IF('Sections List'!$B78=8,1,"")</f>
        <v/>
      </c>
      <c r="J78" t="str">
        <f>IF('Sections List'!$B78=9,1,"")</f>
        <v/>
      </c>
      <c r="K78" t="str">
        <f>IF('Sections List'!$B78=10,1,"")</f>
        <v/>
      </c>
      <c r="L78" t="str">
        <f>IF('Sections List'!$B78=11,1,"")</f>
        <v/>
      </c>
      <c r="M78" t="str">
        <f>IF('Sections List'!$B78=12,1,"")</f>
        <v/>
      </c>
      <c r="N78" t="str">
        <f>IF('Sections List'!$B78=13,1,"")</f>
        <v/>
      </c>
      <c r="O78" t="str">
        <f>IF('Sections List'!$B78=14,1,"")</f>
        <v/>
      </c>
      <c r="P78" t="str">
        <f>IF('Sections List'!$B78=15,1,"")</f>
        <v/>
      </c>
      <c r="Q78" t="str">
        <f>IF('Sections List'!$B78=16,1,"")</f>
        <v/>
      </c>
      <c r="R78" t="str">
        <f>IF('Sections List'!$B78=17,1,"")</f>
        <v/>
      </c>
      <c r="S78" t="str">
        <f>IF('Sections List'!$B78=18,1,"")</f>
        <v/>
      </c>
      <c r="T78" t="str">
        <f>IF('Sections List'!$B78=19,1,"")</f>
        <v/>
      </c>
      <c r="U78" t="str">
        <f>IF('Sections List'!$B78=20,1,"")</f>
        <v/>
      </c>
      <c r="V78" t="str">
        <f>IF('Sections List'!$B78=21,1,"")</f>
        <v/>
      </c>
      <c r="W78" t="str">
        <f>IF('Sections List'!$B78=22,1,"")</f>
        <v/>
      </c>
      <c r="X78" t="str">
        <f>IF('Sections List'!$B78=23,1,"")</f>
        <v/>
      </c>
      <c r="Y78" t="str">
        <f>IF('Sections List'!$B78=24,1,"")</f>
        <v/>
      </c>
      <c r="Z78" t="str">
        <f>IF('Sections List'!$B78=25,1,"")</f>
        <v/>
      </c>
      <c r="AA78" t="str">
        <f>IF('Sections List'!$B78=26,1,"")</f>
        <v/>
      </c>
      <c r="AB78" t="str">
        <f>IF('Sections List'!$B78=27,1,"")</f>
        <v/>
      </c>
      <c r="AC78" t="str">
        <f>IF('Sections List'!$B78=28,1,"")</f>
        <v/>
      </c>
    </row>
    <row r="79" spans="1:29">
      <c r="A79" s="22">
        <f>'Sections List'!A79</f>
        <v>0</v>
      </c>
      <c r="B79" t="str">
        <f>IF('Sections List'!$B79=1,1,"")</f>
        <v/>
      </c>
      <c r="C79" t="str">
        <f>IF('Sections List'!$B79=2,1,"")</f>
        <v/>
      </c>
      <c r="D79" t="str">
        <f>IF('Sections List'!$B79=3,1,"")</f>
        <v/>
      </c>
      <c r="E79" t="str">
        <f>IF('Sections List'!$B79=4,1,"")</f>
        <v/>
      </c>
      <c r="F79" t="str">
        <f>IF('Sections List'!$B79=5,1,"")</f>
        <v/>
      </c>
      <c r="G79" t="str">
        <f>IF('Sections List'!$B79=6,1,"")</f>
        <v/>
      </c>
      <c r="H79" t="str">
        <f>IF('Sections List'!$B79=7,1,"")</f>
        <v/>
      </c>
      <c r="I79" t="str">
        <f>IF('Sections List'!$B79=8,1,"")</f>
        <v/>
      </c>
      <c r="J79" t="str">
        <f>IF('Sections List'!$B79=9,1,"")</f>
        <v/>
      </c>
      <c r="K79" t="str">
        <f>IF('Sections List'!$B79=10,1,"")</f>
        <v/>
      </c>
      <c r="L79" t="str">
        <f>IF('Sections List'!$B79=11,1,"")</f>
        <v/>
      </c>
      <c r="M79" t="str">
        <f>IF('Sections List'!$B79=12,1,"")</f>
        <v/>
      </c>
      <c r="N79" t="str">
        <f>IF('Sections List'!$B79=13,1,"")</f>
        <v/>
      </c>
      <c r="O79" t="str">
        <f>IF('Sections List'!$B79=14,1,"")</f>
        <v/>
      </c>
      <c r="P79" t="str">
        <f>IF('Sections List'!$B79=15,1,"")</f>
        <v/>
      </c>
      <c r="Q79" t="str">
        <f>IF('Sections List'!$B79=16,1,"")</f>
        <v/>
      </c>
      <c r="R79" t="str">
        <f>IF('Sections List'!$B79=17,1,"")</f>
        <v/>
      </c>
      <c r="S79" t="str">
        <f>IF('Sections List'!$B79=18,1,"")</f>
        <v/>
      </c>
      <c r="T79" t="str">
        <f>IF('Sections List'!$B79=19,1,"")</f>
        <v/>
      </c>
      <c r="U79" t="str">
        <f>IF('Sections List'!$B79=20,1,"")</f>
        <v/>
      </c>
      <c r="V79" t="str">
        <f>IF('Sections List'!$B79=21,1,"")</f>
        <v/>
      </c>
      <c r="W79" t="str">
        <f>IF('Sections List'!$B79=22,1,"")</f>
        <v/>
      </c>
      <c r="X79" t="str">
        <f>IF('Sections List'!$B79=23,1,"")</f>
        <v/>
      </c>
      <c r="Y79" t="str">
        <f>IF('Sections List'!$B79=24,1,"")</f>
        <v/>
      </c>
      <c r="Z79" t="str">
        <f>IF('Sections List'!$B79=25,1,"")</f>
        <v/>
      </c>
      <c r="AA79" t="str">
        <f>IF('Sections List'!$B79=26,1,"")</f>
        <v/>
      </c>
      <c r="AB79" t="str">
        <f>IF('Sections List'!$B79=27,1,"")</f>
        <v/>
      </c>
      <c r="AC79" t="str">
        <f>IF('Sections List'!$B79=28,1,"")</f>
        <v/>
      </c>
    </row>
    <row r="80" spans="1:29">
      <c r="A80" s="22">
        <f>'Sections List'!A80</f>
        <v>0</v>
      </c>
      <c r="B80" t="str">
        <f>IF('Sections List'!$B80=1,1,"")</f>
        <v/>
      </c>
      <c r="C80" t="str">
        <f>IF('Sections List'!$B80=2,1,"")</f>
        <v/>
      </c>
      <c r="D80" t="str">
        <f>IF('Sections List'!$B80=3,1,"")</f>
        <v/>
      </c>
      <c r="E80" t="str">
        <f>IF('Sections List'!$B80=4,1,"")</f>
        <v/>
      </c>
      <c r="F80" t="str">
        <f>IF('Sections List'!$B80=5,1,"")</f>
        <v/>
      </c>
      <c r="G80" t="str">
        <f>IF('Sections List'!$B80=6,1,"")</f>
        <v/>
      </c>
      <c r="H80" t="str">
        <f>IF('Sections List'!$B80=7,1,"")</f>
        <v/>
      </c>
      <c r="I80" t="str">
        <f>IF('Sections List'!$B80=8,1,"")</f>
        <v/>
      </c>
      <c r="J80" t="str">
        <f>IF('Sections List'!$B80=9,1,"")</f>
        <v/>
      </c>
      <c r="K80" t="str">
        <f>IF('Sections List'!$B80=10,1,"")</f>
        <v/>
      </c>
      <c r="L80" t="str">
        <f>IF('Sections List'!$B80=11,1,"")</f>
        <v/>
      </c>
      <c r="M80" t="str">
        <f>IF('Sections List'!$B80=12,1,"")</f>
        <v/>
      </c>
      <c r="N80" t="str">
        <f>IF('Sections List'!$B80=13,1,"")</f>
        <v/>
      </c>
      <c r="O80" t="str">
        <f>IF('Sections List'!$B80=14,1,"")</f>
        <v/>
      </c>
      <c r="P80" t="str">
        <f>IF('Sections List'!$B80=15,1,"")</f>
        <v/>
      </c>
      <c r="Q80" t="str">
        <f>IF('Sections List'!$B80=16,1,"")</f>
        <v/>
      </c>
      <c r="R80" t="str">
        <f>IF('Sections List'!$B80=17,1,"")</f>
        <v/>
      </c>
      <c r="S80" t="str">
        <f>IF('Sections List'!$B80=18,1,"")</f>
        <v/>
      </c>
      <c r="T80" t="str">
        <f>IF('Sections List'!$B80=19,1,"")</f>
        <v/>
      </c>
      <c r="U80" t="str">
        <f>IF('Sections List'!$B80=20,1,"")</f>
        <v/>
      </c>
      <c r="V80" t="str">
        <f>IF('Sections List'!$B80=21,1,"")</f>
        <v/>
      </c>
      <c r="W80" t="str">
        <f>IF('Sections List'!$B80=22,1,"")</f>
        <v/>
      </c>
      <c r="X80" t="str">
        <f>IF('Sections List'!$B80=23,1,"")</f>
        <v/>
      </c>
      <c r="Y80" t="str">
        <f>IF('Sections List'!$B80=24,1,"")</f>
        <v/>
      </c>
      <c r="Z80" t="str">
        <f>IF('Sections List'!$B80=25,1,"")</f>
        <v/>
      </c>
      <c r="AA80" t="str">
        <f>IF('Sections List'!$B80=26,1,"")</f>
        <v/>
      </c>
      <c r="AB80" t="str">
        <f>IF('Sections List'!$B80=27,1,"")</f>
        <v/>
      </c>
      <c r="AC80" t="str">
        <f>IF('Sections List'!$B80=28,1,"")</f>
        <v/>
      </c>
    </row>
    <row r="81" spans="1:29">
      <c r="A81" s="22">
        <f>'Sections List'!A81</f>
        <v>0</v>
      </c>
      <c r="B81" t="str">
        <f>IF('Sections List'!$B81=1,1,"")</f>
        <v/>
      </c>
      <c r="C81" t="str">
        <f>IF('Sections List'!$B81=2,1,"")</f>
        <v/>
      </c>
      <c r="D81" t="str">
        <f>IF('Sections List'!$B81=3,1,"")</f>
        <v/>
      </c>
      <c r="E81" t="str">
        <f>IF('Sections List'!$B81=4,1,"")</f>
        <v/>
      </c>
      <c r="F81" t="str">
        <f>IF('Sections List'!$B81=5,1,"")</f>
        <v/>
      </c>
      <c r="G81" t="str">
        <f>IF('Sections List'!$B81=6,1,"")</f>
        <v/>
      </c>
      <c r="H81" t="str">
        <f>IF('Sections List'!$B81=7,1,"")</f>
        <v/>
      </c>
      <c r="I81" t="str">
        <f>IF('Sections List'!$B81=8,1,"")</f>
        <v/>
      </c>
      <c r="J81" t="str">
        <f>IF('Sections List'!$B81=9,1,"")</f>
        <v/>
      </c>
      <c r="K81" t="str">
        <f>IF('Sections List'!$B81=10,1,"")</f>
        <v/>
      </c>
      <c r="L81" t="str">
        <f>IF('Sections List'!$B81=11,1,"")</f>
        <v/>
      </c>
      <c r="M81" t="str">
        <f>IF('Sections List'!$B81=12,1,"")</f>
        <v/>
      </c>
      <c r="N81" t="str">
        <f>IF('Sections List'!$B81=13,1,"")</f>
        <v/>
      </c>
      <c r="O81" t="str">
        <f>IF('Sections List'!$B81=14,1,"")</f>
        <v/>
      </c>
      <c r="P81" t="str">
        <f>IF('Sections List'!$B81=15,1,"")</f>
        <v/>
      </c>
      <c r="Q81" t="str">
        <f>IF('Sections List'!$B81=16,1,"")</f>
        <v/>
      </c>
      <c r="R81" t="str">
        <f>IF('Sections List'!$B81=17,1,"")</f>
        <v/>
      </c>
      <c r="S81" t="str">
        <f>IF('Sections List'!$B81=18,1,"")</f>
        <v/>
      </c>
      <c r="T81" t="str">
        <f>IF('Sections List'!$B81=19,1,"")</f>
        <v/>
      </c>
      <c r="U81" t="str">
        <f>IF('Sections List'!$B81=20,1,"")</f>
        <v/>
      </c>
      <c r="V81" t="str">
        <f>IF('Sections List'!$B81=21,1,"")</f>
        <v/>
      </c>
      <c r="W81" t="str">
        <f>IF('Sections List'!$B81=22,1,"")</f>
        <v/>
      </c>
      <c r="X81" t="str">
        <f>IF('Sections List'!$B81=23,1,"")</f>
        <v/>
      </c>
      <c r="Y81" t="str">
        <f>IF('Sections List'!$B81=24,1,"")</f>
        <v/>
      </c>
      <c r="Z81" t="str">
        <f>IF('Sections List'!$B81=25,1,"")</f>
        <v/>
      </c>
      <c r="AA81" t="str">
        <f>IF('Sections List'!$B81=26,1,"")</f>
        <v/>
      </c>
      <c r="AB81" t="str">
        <f>IF('Sections List'!$B81=27,1,"")</f>
        <v/>
      </c>
      <c r="AC81" t="str">
        <f>IF('Sections List'!$B81=28,1,"")</f>
        <v/>
      </c>
    </row>
    <row r="82" spans="1:29">
      <c r="A82" s="22">
        <f>'Sections List'!A82</f>
        <v>0</v>
      </c>
      <c r="B82" t="str">
        <f>IF('Sections List'!$B82=1,1,"")</f>
        <v/>
      </c>
      <c r="C82" t="str">
        <f>IF('Sections List'!$B82=2,1,"")</f>
        <v/>
      </c>
      <c r="D82" t="str">
        <f>IF('Sections List'!$B82=3,1,"")</f>
        <v/>
      </c>
      <c r="E82" t="str">
        <f>IF('Sections List'!$B82=4,1,"")</f>
        <v/>
      </c>
      <c r="F82" t="str">
        <f>IF('Sections List'!$B82=5,1,"")</f>
        <v/>
      </c>
      <c r="G82" t="str">
        <f>IF('Sections List'!$B82=6,1,"")</f>
        <v/>
      </c>
      <c r="H82" t="str">
        <f>IF('Sections List'!$B82=7,1,"")</f>
        <v/>
      </c>
      <c r="I82" t="str">
        <f>IF('Sections List'!$B82=8,1,"")</f>
        <v/>
      </c>
      <c r="J82" t="str">
        <f>IF('Sections List'!$B82=9,1,"")</f>
        <v/>
      </c>
      <c r="K82" t="str">
        <f>IF('Sections List'!$B82=10,1,"")</f>
        <v/>
      </c>
      <c r="L82" t="str">
        <f>IF('Sections List'!$B82=11,1,"")</f>
        <v/>
      </c>
      <c r="M82" t="str">
        <f>IF('Sections List'!$B82=12,1,"")</f>
        <v/>
      </c>
      <c r="N82" t="str">
        <f>IF('Sections List'!$B82=13,1,"")</f>
        <v/>
      </c>
      <c r="O82" t="str">
        <f>IF('Sections List'!$B82=14,1,"")</f>
        <v/>
      </c>
      <c r="P82" t="str">
        <f>IF('Sections List'!$B82=15,1,"")</f>
        <v/>
      </c>
      <c r="Q82" t="str">
        <f>IF('Sections List'!$B82=16,1,"")</f>
        <v/>
      </c>
      <c r="R82" t="str">
        <f>IF('Sections List'!$B82=17,1,"")</f>
        <v/>
      </c>
      <c r="S82" t="str">
        <f>IF('Sections List'!$B82=18,1,"")</f>
        <v/>
      </c>
      <c r="T82" t="str">
        <f>IF('Sections List'!$B82=19,1,"")</f>
        <v/>
      </c>
      <c r="U82" t="str">
        <f>IF('Sections List'!$B82=20,1,"")</f>
        <v/>
      </c>
      <c r="V82" t="str">
        <f>IF('Sections List'!$B82=21,1,"")</f>
        <v/>
      </c>
      <c r="W82" t="str">
        <f>IF('Sections List'!$B82=22,1,"")</f>
        <v/>
      </c>
      <c r="X82" t="str">
        <f>IF('Sections List'!$B82=23,1,"")</f>
        <v/>
      </c>
      <c r="Y82" t="str">
        <f>IF('Sections List'!$B82=24,1,"")</f>
        <v/>
      </c>
      <c r="Z82" t="str">
        <f>IF('Sections List'!$B82=25,1,"")</f>
        <v/>
      </c>
      <c r="AA82" t="str">
        <f>IF('Sections List'!$B82=26,1,"")</f>
        <v/>
      </c>
      <c r="AB82" t="str">
        <f>IF('Sections List'!$B82=27,1,"")</f>
        <v/>
      </c>
      <c r="AC82" t="str">
        <f>IF('Sections List'!$B82=28,1,"")</f>
        <v/>
      </c>
    </row>
    <row r="83" spans="1:29">
      <c r="A83" s="22">
        <f>'Sections List'!A83</f>
        <v>0</v>
      </c>
      <c r="B83" t="str">
        <f>IF('Sections List'!$B83=1,1,"")</f>
        <v/>
      </c>
      <c r="C83" t="str">
        <f>IF('Sections List'!$B83=2,1,"")</f>
        <v/>
      </c>
      <c r="D83" t="str">
        <f>IF('Sections List'!$B83=3,1,"")</f>
        <v/>
      </c>
      <c r="E83" t="str">
        <f>IF('Sections List'!$B83=4,1,"")</f>
        <v/>
      </c>
      <c r="F83" t="str">
        <f>IF('Sections List'!$B83=5,1,"")</f>
        <v/>
      </c>
      <c r="G83" t="str">
        <f>IF('Sections List'!$B83=6,1,"")</f>
        <v/>
      </c>
      <c r="H83" t="str">
        <f>IF('Sections List'!$B83=7,1,"")</f>
        <v/>
      </c>
      <c r="I83" t="str">
        <f>IF('Sections List'!$B83=8,1,"")</f>
        <v/>
      </c>
      <c r="J83" t="str">
        <f>IF('Sections List'!$B83=9,1,"")</f>
        <v/>
      </c>
      <c r="K83" t="str">
        <f>IF('Sections List'!$B83=10,1,"")</f>
        <v/>
      </c>
      <c r="L83" t="str">
        <f>IF('Sections List'!$B83=11,1,"")</f>
        <v/>
      </c>
      <c r="M83" t="str">
        <f>IF('Sections List'!$B83=12,1,"")</f>
        <v/>
      </c>
      <c r="N83" t="str">
        <f>IF('Sections List'!$B83=13,1,"")</f>
        <v/>
      </c>
      <c r="O83" t="str">
        <f>IF('Sections List'!$B83=14,1,"")</f>
        <v/>
      </c>
      <c r="P83" t="str">
        <f>IF('Sections List'!$B83=15,1,"")</f>
        <v/>
      </c>
      <c r="Q83" t="str">
        <f>IF('Sections List'!$B83=16,1,"")</f>
        <v/>
      </c>
      <c r="R83" t="str">
        <f>IF('Sections List'!$B83=17,1,"")</f>
        <v/>
      </c>
      <c r="S83" t="str">
        <f>IF('Sections List'!$B83=18,1,"")</f>
        <v/>
      </c>
      <c r="T83" t="str">
        <f>IF('Sections List'!$B83=19,1,"")</f>
        <v/>
      </c>
      <c r="U83" t="str">
        <f>IF('Sections List'!$B83=20,1,"")</f>
        <v/>
      </c>
      <c r="V83" t="str">
        <f>IF('Sections List'!$B83=21,1,"")</f>
        <v/>
      </c>
      <c r="W83" t="str">
        <f>IF('Sections List'!$B83=22,1,"")</f>
        <v/>
      </c>
      <c r="X83" t="str">
        <f>IF('Sections List'!$B83=23,1,"")</f>
        <v/>
      </c>
      <c r="Y83" t="str">
        <f>IF('Sections List'!$B83=24,1,"")</f>
        <v/>
      </c>
      <c r="Z83" t="str">
        <f>IF('Sections List'!$B83=25,1,"")</f>
        <v/>
      </c>
      <c r="AA83" t="str">
        <f>IF('Sections List'!$B83=26,1,"")</f>
        <v/>
      </c>
      <c r="AB83" t="str">
        <f>IF('Sections List'!$B83=27,1,"")</f>
        <v/>
      </c>
      <c r="AC83" t="str">
        <f>IF('Sections List'!$B83=28,1,"")</f>
        <v/>
      </c>
    </row>
    <row r="84" spans="1:29">
      <c r="A84" s="22">
        <f>'Sections List'!A84</f>
        <v>0</v>
      </c>
      <c r="B84" t="str">
        <f>IF('Sections List'!$B84=1,1,"")</f>
        <v/>
      </c>
      <c r="C84" t="str">
        <f>IF('Sections List'!$B84=2,1,"")</f>
        <v/>
      </c>
      <c r="D84" t="str">
        <f>IF('Sections List'!$B84=3,1,"")</f>
        <v/>
      </c>
      <c r="E84" t="str">
        <f>IF('Sections List'!$B84=4,1,"")</f>
        <v/>
      </c>
      <c r="F84" t="str">
        <f>IF('Sections List'!$B84=5,1,"")</f>
        <v/>
      </c>
      <c r="G84" t="str">
        <f>IF('Sections List'!$B84=6,1,"")</f>
        <v/>
      </c>
      <c r="H84" t="str">
        <f>IF('Sections List'!$B84=7,1,"")</f>
        <v/>
      </c>
      <c r="I84" t="str">
        <f>IF('Sections List'!$B84=8,1,"")</f>
        <v/>
      </c>
      <c r="J84" t="str">
        <f>IF('Sections List'!$B84=9,1,"")</f>
        <v/>
      </c>
      <c r="K84" t="str">
        <f>IF('Sections List'!$B84=10,1,"")</f>
        <v/>
      </c>
      <c r="L84" t="str">
        <f>IF('Sections List'!$B84=11,1,"")</f>
        <v/>
      </c>
      <c r="M84" t="str">
        <f>IF('Sections List'!$B84=12,1,"")</f>
        <v/>
      </c>
      <c r="N84" t="str">
        <f>IF('Sections List'!$B84=13,1,"")</f>
        <v/>
      </c>
      <c r="O84" t="str">
        <f>IF('Sections List'!$B84=14,1,"")</f>
        <v/>
      </c>
      <c r="P84" t="str">
        <f>IF('Sections List'!$B84=15,1,"")</f>
        <v/>
      </c>
      <c r="Q84" t="str">
        <f>IF('Sections List'!$B84=16,1,"")</f>
        <v/>
      </c>
      <c r="R84" t="str">
        <f>IF('Sections List'!$B84=17,1,"")</f>
        <v/>
      </c>
      <c r="S84" t="str">
        <f>IF('Sections List'!$B84=18,1,"")</f>
        <v/>
      </c>
      <c r="T84" t="str">
        <f>IF('Sections List'!$B84=19,1,"")</f>
        <v/>
      </c>
      <c r="U84" t="str">
        <f>IF('Sections List'!$B84=20,1,"")</f>
        <v/>
      </c>
      <c r="V84" t="str">
        <f>IF('Sections List'!$B84=21,1,"")</f>
        <v/>
      </c>
      <c r="W84" t="str">
        <f>IF('Sections List'!$B84=22,1,"")</f>
        <v/>
      </c>
      <c r="X84" t="str">
        <f>IF('Sections List'!$B84=23,1,"")</f>
        <v/>
      </c>
      <c r="Y84" t="str">
        <f>IF('Sections List'!$B84=24,1,"")</f>
        <v/>
      </c>
      <c r="Z84" t="str">
        <f>IF('Sections List'!$B84=25,1,"")</f>
        <v/>
      </c>
      <c r="AA84" t="str">
        <f>IF('Sections List'!$B84=26,1,"")</f>
        <v/>
      </c>
      <c r="AB84" t="str">
        <f>IF('Sections List'!$B84=27,1,"")</f>
        <v/>
      </c>
      <c r="AC84" t="str">
        <f>IF('Sections List'!$B84=28,1,"")</f>
        <v/>
      </c>
    </row>
    <row r="85" spans="1:29">
      <c r="A85" s="22">
        <f>'Sections List'!A85</f>
        <v>0</v>
      </c>
      <c r="B85" t="str">
        <f>IF('Sections List'!$B85=1,1,"")</f>
        <v/>
      </c>
      <c r="C85" t="str">
        <f>IF('Sections List'!$B85=2,1,"")</f>
        <v/>
      </c>
      <c r="D85" t="str">
        <f>IF('Sections List'!$B85=3,1,"")</f>
        <v/>
      </c>
      <c r="E85" t="str">
        <f>IF('Sections List'!$B85=4,1,"")</f>
        <v/>
      </c>
      <c r="F85" t="str">
        <f>IF('Sections List'!$B85=5,1,"")</f>
        <v/>
      </c>
      <c r="G85" t="str">
        <f>IF('Sections List'!$B85=6,1,"")</f>
        <v/>
      </c>
      <c r="H85" t="str">
        <f>IF('Sections List'!$B85=7,1,"")</f>
        <v/>
      </c>
      <c r="I85" t="str">
        <f>IF('Sections List'!$B85=8,1,"")</f>
        <v/>
      </c>
      <c r="J85" t="str">
        <f>IF('Sections List'!$B85=9,1,"")</f>
        <v/>
      </c>
      <c r="K85" t="str">
        <f>IF('Sections List'!$B85=10,1,"")</f>
        <v/>
      </c>
      <c r="L85" t="str">
        <f>IF('Sections List'!$B85=11,1,"")</f>
        <v/>
      </c>
      <c r="M85" t="str">
        <f>IF('Sections List'!$B85=12,1,"")</f>
        <v/>
      </c>
      <c r="N85" t="str">
        <f>IF('Sections List'!$B85=13,1,"")</f>
        <v/>
      </c>
      <c r="O85" t="str">
        <f>IF('Sections List'!$B85=14,1,"")</f>
        <v/>
      </c>
      <c r="P85" t="str">
        <f>IF('Sections List'!$B85=15,1,"")</f>
        <v/>
      </c>
      <c r="Q85" t="str">
        <f>IF('Sections List'!$B85=16,1,"")</f>
        <v/>
      </c>
      <c r="R85" t="str">
        <f>IF('Sections List'!$B85=17,1,"")</f>
        <v/>
      </c>
      <c r="S85" t="str">
        <f>IF('Sections List'!$B85=18,1,"")</f>
        <v/>
      </c>
      <c r="T85" t="str">
        <f>IF('Sections List'!$B85=19,1,"")</f>
        <v/>
      </c>
      <c r="U85" t="str">
        <f>IF('Sections List'!$B85=20,1,"")</f>
        <v/>
      </c>
      <c r="V85" t="str">
        <f>IF('Sections List'!$B85=21,1,"")</f>
        <v/>
      </c>
      <c r="W85" t="str">
        <f>IF('Sections List'!$B85=22,1,"")</f>
        <v/>
      </c>
      <c r="X85" t="str">
        <f>IF('Sections List'!$B85=23,1,"")</f>
        <v/>
      </c>
      <c r="Y85" t="str">
        <f>IF('Sections List'!$B85=24,1,"")</f>
        <v/>
      </c>
      <c r="Z85" t="str">
        <f>IF('Sections List'!$B85=25,1,"")</f>
        <v/>
      </c>
      <c r="AA85" t="str">
        <f>IF('Sections List'!$B85=26,1,"")</f>
        <v/>
      </c>
      <c r="AB85" t="str">
        <f>IF('Sections List'!$B85=27,1,"")</f>
        <v/>
      </c>
      <c r="AC85" t="str">
        <f>IF('Sections List'!$B85=28,1,"")</f>
        <v/>
      </c>
    </row>
    <row r="86" spans="1:29">
      <c r="A86" s="22">
        <f>'Sections List'!A86</f>
        <v>0</v>
      </c>
      <c r="B86" t="str">
        <f>IF('Sections List'!$B86=1,1,"")</f>
        <v/>
      </c>
      <c r="C86" t="str">
        <f>IF('Sections List'!$B86=2,1,"")</f>
        <v/>
      </c>
      <c r="D86" t="str">
        <f>IF('Sections List'!$B86=3,1,"")</f>
        <v/>
      </c>
      <c r="E86" t="str">
        <f>IF('Sections List'!$B86=4,1,"")</f>
        <v/>
      </c>
      <c r="F86" t="str">
        <f>IF('Sections List'!$B86=5,1,"")</f>
        <v/>
      </c>
      <c r="G86" t="str">
        <f>IF('Sections List'!$B86=6,1,"")</f>
        <v/>
      </c>
      <c r="H86" t="str">
        <f>IF('Sections List'!$B86=7,1,"")</f>
        <v/>
      </c>
      <c r="I86" t="str">
        <f>IF('Sections List'!$B86=8,1,"")</f>
        <v/>
      </c>
      <c r="J86" t="str">
        <f>IF('Sections List'!$B86=9,1,"")</f>
        <v/>
      </c>
      <c r="K86" t="str">
        <f>IF('Sections List'!$B86=10,1,"")</f>
        <v/>
      </c>
      <c r="L86" t="str">
        <f>IF('Sections List'!$B86=11,1,"")</f>
        <v/>
      </c>
      <c r="M86" t="str">
        <f>IF('Sections List'!$B86=12,1,"")</f>
        <v/>
      </c>
      <c r="N86" t="str">
        <f>IF('Sections List'!$B86=13,1,"")</f>
        <v/>
      </c>
      <c r="O86" t="str">
        <f>IF('Sections List'!$B86=14,1,"")</f>
        <v/>
      </c>
      <c r="P86" t="str">
        <f>IF('Sections List'!$B86=15,1,"")</f>
        <v/>
      </c>
      <c r="Q86" t="str">
        <f>IF('Sections List'!$B86=16,1,"")</f>
        <v/>
      </c>
      <c r="R86" t="str">
        <f>IF('Sections List'!$B86=17,1,"")</f>
        <v/>
      </c>
      <c r="S86" t="str">
        <f>IF('Sections List'!$B86=18,1,"")</f>
        <v/>
      </c>
      <c r="T86" t="str">
        <f>IF('Sections List'!$B86=19,1,"")</f>
        <v/>
      </c>
      <c r="U86" t="str">
        <f>IF('Sections List'!$B86=20,1,"")</f>
        <v/>
      </c>
      <c r="V86" t="str">
        <f>IF('Sections List'!$B86=21,1,"")</f>
        <v/>
      </c>
      <c r="W86" t="str">
        <f>IF('Sections List'!$B86=22,1,"")</f>
        <v/>
      </c>
      <c r="X86" t="str">
        <f>IF('Sections List'!$B86=23,1,"")</f>
        <v/>
      </c>
      <c r="Y86" t="str">
        <f>IF('Sections List'!$B86=24,1,"")</f>
        <v/>
      </c>
      <c r="Z86" t="str">
        <f>IF('Sections List'!$B86=25,1,"")</f>
        <v/>
      </c>
      <c r="AA86" t="str">
        <f>IF('Sections List'!$B86=26,1,"")</f>
        <v/>
      </c>
      <c r="AB86" t="str">
        <f>IF('Sections List'!$B86=27,1,"")</f>
        <v/>
      </c>
      <c r="AC86" t="str">
        <f>IF('Sections List'!$B86=28,1,"")</f>
        <v/>
      </c>
    </row>
    <row r="87" spans="1:29">
      <c r="A87" s="22">
        <f>'Sections List'!A87</f>
        <v>0</v>
      </c>
      <c r="B87" t="str">
        <f>IF('Sections List'!$B87=1,1,"")</f>
        <v/>
      </c>
      <c r="C87" t="str">
        <f>IF('Sections List'!$B87=2,1,"")</f>
        <v/>
      </c>
      <c r="D87" t="str">
        <f>IF('Sections List'!$B87=3,1,"")</f>
        <v/>
      </c>
      <c r="E87" t="str">
        <f>IF('Sections List'!$B87=4,1,"")</f>
        <v/>
      </c>
      <c r="F87" t="str">
        <f>IF('Sections List'!$B87=5,1,"")</f>
        <v/>
      </c>
      <c r="G87" t="str">
        <f>IF('Sections List'!$B87=6,1,"")</f>
        <v/>
      </c>
      <c r="H87" t="str">
        <f>IF('Sections List'!$B87=7,1,"")</f>
        <v/>
      </c>
      <c r="I87" t="str">
        <f>IF('Sections List'!$B87=8,1,"")</f>
        <v/>
      </c>
      <c r="J87" t="str">
        <f>IF('Sections List'!$B87=9,1,"")</f>
        <v/>
      </c>
      <c r="K87" t="str">
        <f>IF('Sections List'!$B87=10,1,"")</f>
        <v/>
      </c>
      <c r="L87" t="str">
        <f>IF('Sections List'!$B87=11,1,"")</f>
        <v/>
      </c>
      <c r="M87" t="str">
        <f>IF('Sections List'!$B87=12,1,"")</f>
        <v/>
      </c>
      <c r="N87" t="str">
        <f>IF('Sections List'!$B87=13,1,"")</f>
        <v/>
      </c>
      <c r="O87" t="str">
        <f>IF('Sections List'!$B87=14,1,"")</f>
        <v/>
      </c>
      <c r="P87" t="str">
        <f>IF('Sections List'!$B87=15,1,"")</f>
        <v/>
      </c>
      <c r="Q87" t="str">
        <f>IF('Sections List'!$B87=16,1,"")</f>
        <v/>
      </c>
      <c r="R87" t="str">
        <f>IF('Sections List'!$B87=17,1,"")</f>
        <v/>
      </c>
      <c r="S87" t="str">
        <f>IF('Sections List'!$B87=18,1,"")</f>
        <v/>
      </c>
      <c r="T87" t="str">
        <f>IF('Sections List'!$B87=19,1,"")</f>
        <v/>
      </c>
      <c r="U87" t="str">
        <f>IF('Sections List'!$B87=20,1,"")</f>
        <v/>
      </c>
      <c r="V87" t="str">
        <f>IF('Sections List'!$B87=21,1,"")</f>
        <v/>
      </c>
      <c r="W87" t="str">
        <f>IF('Sections List'!$B87=22,1,"")</f>
        <v/>
      </c>
      <c r="X87" t="str">
        <f>IF('Sections List'!$B87=23,1,"")</f>
        <v/>
      </c>
      <c r="Y87" t="str">
        <f>IF('Sections List'!$B87=24,1,"")</f>
        <v/>
      </c>
      <c r="Z87" t="str">
        <f>IF('Sections List'!$B87=25,1,"")</f>
        <v/>
      </c>
      <c r="AA87" t="str">
        <f>IF('Sections List'!$B87=26,1,"")</f>
        <v/>
      </c>
      <c r="AB87" t="str">
        <f>IF('Sections List'!$B87=27,1,"")</f>
        <v/>
      </c>
      <c r="AC87" t="str">
        <f>IF('Sections List'!$B87=28,1,"")</f>
        <v/>
      </c>
    </row>
    <row r="88" spans="1:29">
      <c r="A88" s="22">
        <f>'Sections List'!A88</f>
        <v>0</v>
      </c>
      <c r="B88" t="str">
        <f>IF('Sections List'!$B88=1,1,"")</f>
        <v/>
      </c>
      <c r="C88" t="str">
        <f>IF('Sections List'!$B88=2,1,"")</f>
        <v/>
      </c>
      <c r="D88" t="str">
        <f>IF('Sections List'!$B88=3,1,"")</f>
        <v/>
      </c>
      <c r="E88" t="str">
        <f>IF('Sections List'!$B88=4,1,"")</f>
        <v/>
      </c>
      <c r="F88" t="str">
        <f>IF('Sections List'!$B88=5,1,"")</f>
        <v/>
      </c>
      <c r="G88" t="str">
        <f>IF('Sections List'!$B88=6,1,"")</f>
        <v/>
      </c>
      <c r="H88" t="str">
        <f>IF('Sections List'!$B88=7,1,"")</f>
        <v/>
      </c>
      <c r="I88" t="str">
        <f>IF('Sections List'!$B88=8,1,"")</f>
        <v/>
      </c>
      <c r="J88" t="str">
        <f>IF('Sections List'!$B88=9,1,"")</f>
        <v/>
      </c>
      <c r="K88" t="str">
        <f>IF('Sections List'!$B88=10,1,"")</f>
        <v/>
      </c>
      <c r="L88" t="str">
        <f>IF('Sections List'!$B88=11,1,"")</f>
        <v/>
      </c>
      <c r="M88" t="str">
        <f>IF('Sections List'!$B88=12,1,"")</f>
        <v/>
      </c>
      <c r="N88" t="str">
        <f>IF('Sections List'!$B88=13,1,"")</f>
        <v/>
      </c>
      <c r="O88" t="str">
        <f>IF('Sections List'!$B88=14,1,"")</f>
        <v/>
      </c>
      <c r="P88" t="str">
        <f>IF('Sections List'!$B88=15,1,"")</f>
        <v/>
      </c>
      <c r="Q88" t="str">
        <f>IF('Sections List'!$B88=16,1,"")</f>
        <v/>
      </c>
      <c r="R88" t="str">
        <f>IF('Sections List'!$B88=17,1,"")</f>
        <v/>
      </c>
      <c r="S88" t="str">
        <f>IF('Sections List'!$B88=18,1,"")</f>
        <v/>
      </c>
      <c r="T88" t="str">
        <f>IF('Sections List'!$B88=19,1,"")</f>
        <v/>
      </c>
      <c r="U88" t="str">
        <f>IF('Sections List'!$B88=20,1,"")</f>
        <v/>
      </c>
      <c r="V88" t="str">
        <f>IF('Sections List'!$B88=21,1,"")</f>
        <v/>
      </c>
      <c r="W88" t="str">
        <f>IF('Sections List'!$B88=22,1,"")</f>
        <v/>
      </c>
      <c r="X88" t="str">
        <f>IF('Sections List'!$B88=23,1,"")</f>
        <v/>
      </c>
      <c r="Y88" t="str">
        <f>IF('Sections List'!$B88=24,1,"")</f>
        <v/>
      </c>
      <c r="Z88" t="str">
        <f>IF('Sections List'!$B88=25,1,"")</f>
        <v/>
      </c>
      <c r="AA88" t="str">
        <f>IF('Sections List'!$B88=26,1,"")</f>
        <v/>
      </c>
      <c r="AB88" t="str">
        <f>IF('Sections List'!$B88=27,1,"")</f>
        <v/>
      </c>
      <c r="AC88" t="str">
        <f>IF('Sections List'!$B88=28,1,"")</f>
        <v/>
      </c>
    </row>
    <row r="89" spans="1:29">
      <c r="A89" s="22">
        <f>'Sections List'!A89</f>
        <v>0</v>
      </c>
      <c r="B89" t="str">
        <f>IF('Sections List'!$B89=1,1,"")</f>
        <v/>
      </c>
      <c r="C89" t="str">
        <f>IF('Sections List'!$B89=2,1,"")</f>
        <v/>
      </c>
      <c r="D89" t="str">
        <f>IF('Sections List'!$B89=3,1,"")</f>
        <v/>
      </c>
      <c r="E89" t="str">
        <f>IF('Sections List'!$B89=4,1,"")</f>
        <v/>
      </c>
      <c r="F89" t="str">
        <f>IF('Sections List'!$B89=5,1,"")</f>
        <v/>
      </c>
      <c r="G89" t="str">
        <f>IF('Sections List'!$B89=6,1,"")</f>
        <v/>
      </c>
      <c r="H89" t="str">
        <f>IF('Sections List'!$B89=7,1,"")</f>
        <v/>
      </c>
      <c r="I89" t="str">
        <f>IF('Sections List'!$B89=8,1,"")</f>
        <v/>
      </c>
      <c r="J89" t="str">
        <f>IF('Sections List'!$B89=9,1,"")</f>
        <v/>
      </c>
      <c r="K89" t="str">
        <f>IF('Sections List'!$B89=10,1,"")</f>
        <v/>
      </c>
      <c r="L89" t="str">
        <f>IF('Sections List'!$B89=11,1,"")</f>
        <v/>
      </c>
      <c r="M89" t="str">
        <f>IF('Sections List'!$B89=12,1,"")</f>
        <v/>
      </c>
      <c r="N89" t="str">
        <f>IF('Sections List'!$B89=13,1,"")</f>
        <v/>
      </c>
      <c r="O89" t="str">
        <f>IF('Sections List'!$B89=14,1,"")</f>
        <v/>
      </c>
      <c r="P89" t="str">
        <f>IF('Sections List'!$B89=15,1,"")</f>
        <v/>
      </c>
      <c r="Q89" t="str">
        <f>IF('Sections List'!$B89=16,1,"")</f>
        <v/>
      </c>
      <c r="R89" t="str">
        <f>IF('Sections List'!$B89=17,1,"")</f>
        <v/>
      </c>
      <c r="S89" t="str">
        <f>IF('Sections List'!$B89=18,1,"")</f>
        <v/>
      </c>
      <c r="T89" t="str">
        <f>IF('Sections List'!$B89=19,1,"")</f>
        <v/>
      </c>
      <c r="U89" t="str">
        <f>IF('Sections List'!$B89=20,1,"")</f>
        <v/>
      </c>
      <c r="V89" t="str">
        <f>IF('Sections List'!$B89=21,1,"")</f>
        <v/>
      </c>
      <c r="W89" t="str">
        <f>IF('Sections List'!$B89=22,1,"")</f>
        <v/>
      </c>
      <c r="X89" t="str">
        <f>IF('Sections List'!$B89=23,1,"")</f>
        <v/>
      </c>
      <c r="Y89" t="str">
        <f>IF('Sections List'!$B89=24,1,"")</f>
        <v/>
      </c>
      <c r="Z89" t="str">
        <f>IF('Sections List'!$B89=25,1,"")</f>
        <v/>
      </c>
      <c r="AA89" t="str">
        <f>IF('Sections List'!$B89=26,1,"")</f>
        <v/>
      </c>
      <c r="AB89" t="str">
        <f>IF('Sections List'!$B89=27,1,"")</f>
        <v/>
      </c>
      <c r="AC89" t="str">
        <f>IF('Sections List'!$B89=28,1,"")</f>
        <v/>
      </c>
    </row>
    <row r="90" spans="1:29">
      <c r="A90" s="22">
        <f>'Sections List'!A90</f>
        <v>0</v>
      </c>
      <c r="B90" t="str">
        <f>IF('Sections List'!$B90=1,1,"")</f>
        <v/>
      </c>
      <c r="C90" t="str">
        <f>IF('Sections List'!$B90=2,1,"")</f>
        <v/>
      </c>
      <c r="D90" t="str">
        <f>IF('Sections List'!$B90=3,1,"")</f>
        <v/>
      </c>
      <c r="E90" t="str">
        <f>IF('Sections List'!$B90=4,1,"")</f>
        <v/>
      </c>
      <c r="F90" t="str">
        <f>IF('Sections List'!$B90=5,1,"")</f>
        <v/>
      </c>
      <c r="G90" t="str">
        <f>IF('Sections List'!$B90=6,1,"")</f>
        <v/>
      </c>
      <c r="H90" t="str">
        <f>IF('Sections List'!$B90=7,1,"")</f>
        <v/>
      </c>
      <c r="I90" t="str">
        <f>IF('Sections List'!$B90=8,1,"")</f>
        <v/>
      </c>
      <c r="J90" t="str">
        <f>IF('Sections List'!$B90=9,1,"")</f>
        <v/>
      </c>
      <c r="K90" t="str">
        <f>IF('Sections List'!$B90=10,1,"")</f>
        <v/>
      </c>
      <c r="L90" t="str">
        <f>IF('Sections List'!$B90=11,1,"")</f>
        <v/>
      </c>
      <c r="M90" t="str">
        <f>IF('Sections List'!$B90=12,1,"")</f>
        <v/>
      </c>
      <c r="N90" t="str">
        <f>IF('Sections List'!$B90=13,1,"")</f>
        <v/>
      </c>
      <c r="O90" t="str">
        <f>IF('Sections List'!$B90=14,1,"")</f>
        <v/>
      </c>
      <c r="P90" t="str">
        <f>IF('Sections List'!$B90=15,1,"")</f>
        <v/>
      </c>
      <c r="Q90" t="str">
        <f>IF('Sections List'!$B90=16,1,"")</f>
        <v/>
      </c>
      <c r="R90" t="str">
        <f>IF('Sections List'!$B90=17,1,"")</f>
        <v/>
      </c>
      <c r="S90" t="str">
        <f>IF('Sections List'!$B90=18,1,"")</f>
        <v/>
      </c>
      <c r="T90" t="str">
        <f>IF('Sections List'!$B90=19,1,"")</f>
        <v/>
      </c>
      <c r="U90" t="str">
        <f>IF('Sections List'!$B90=20,1,"")</f>
        <v/>
      </c>
      <c r="V90" t="str">
        <f>IF('Sections List'!$B90=21,1,"")</f>
        <v/>
      </c>
      <c r="W90" t="str">
        <f>IF('Sections List'!$B90=22,1,"")</f>
        <v/>
      </c>
      <c r="X90" t="str">
        <f>IF('Sections List'!$B90=23,1,"")</f>
        <v/>
      </c>
      <c r="Y90" t="str">
        <f>IF('Sections List'!$B90=24,1,"")</f>
        <v/>
      </c>
      <c r="Z90" t="str">
        <f>IF('Sections List'!$B90=25,1,"")</f>
        <v/>
      </c>
      <c r="AA90" t="str">
        <f>IF('Sections List'!$B90=26,1,"")</f>
        <v/>
      </c>
      <c r="AB90" t="str">
        <f>IF('Sections List'!$B90=27,1,"")</f>
        <v/>
      </c>
      <c r="AC90" t="str">
        <f>IF('Sections List'!$B90=28,1,"")</f>
        <v/>
      </c>
    </row>
    <row r="91" spans="1:29">
      <c r="A91" s="22">
        <f>'Sections List'!A91</f>
        <v>0</v>
      </c>
      <c r="B91" t="str">
        <f>IF('Sections List'!$B91=1,1,"")</f>
        <v/>
      </c>
      <c r="C91" t="str">
        <f>IF('Sections List'!$B91=2,1,"")</f>
        <v/>
      </c>
      <c r="D91" t="str">
        <f>IF('Sections List'!$B91=3,1,"")</f>
        <v/>
      </c>
      <c r="E91" t="str">
        <f>IF('Sections List'!$B91=4,1,"")</f>
        <v/>
      </c>
      <c r="F91" t="str">
        <f>IF('Sections List'!$B91=5,1,"")</f>
        <v/>
      </c>
      <c r="G91" t="str">
        <f>IF('Sections List'!$B91=6,1,"")</f>
        <v/>
      </c>
      <c r="H91" t="str">
        <f>IF('Sections List'!$B91=7,1,"")</f>
        <v/>
      </c>
      <c r="I91" t="str">
        <f>IF('Sections List'!$B91=8,1,"")</f>
        <v/>
      </c>
      <c r="J91" t="str">
        <f>IF('Sections List'!$B91=9,1,"")</f>
        <v/>
      </c>
      <c r="K91" t="str">
        <f>IF('Sections List'!$B91=10,1,"")</f>
        <v/>
      </c>
      <c r="L91" t="str">
        <f>IF('Sections List'!$B91=11,1,"")</f>
        <v/>
      </c>
      <c r="M91" t="str">
        <f>IF('Sections List'!$B91=12,1,"")</f>
        <v/>
      </c>
      <c r="N91" t="str">
        <f>IF('Sections List'!$B91=13,1,"")</f>
        <v/>
      </c>
      <c r="O91" t="str">
        <f>IF('Sections List'!$B91=14,1,"")</f>
        <v/>
      </c>
      <c r="P91" t="str">
        <f>IF('Sections List'!$B91=15,1,"")</f>
        <v/>
      </c>
      <c r="Q91" t="str">
        <f>IF('Sections List'!$B91=16,1,"")</f>
        <v/>
      </c>
      <c r="R91" t="str">
        <f>IF('Sections List'!$B91=17,1,"")</f>
        <v/>
      </c>
      <c r="S91" t="str">
        <f>IF('Sections List'!$B91=18,1,"")</f>
        <v/>
      </c>
      <c r="T91" t="str">
        <f>IF('Sections List'!$B91=19,1,"")</f>
        <v/>
      </c>
      <c r="U91" t="str">
        <f>IF('Sections List'!$B91=20,1,"")</f>
        <v/>
      </c>
      <c r="V91" t="str">
        <f>IF('Sections List'!$B91=21,1,"")</f>
        <v/>
      </c>
      <c r="W91" t="str">
        <f>IF('Sections List'!$B91=22,1,"")</f>
        <v/>
      </c>
      <c r="X91" t="str">
        <f>IF('Sections List'!$B91=23,1,"")</f>
        <v/>
      </c>
      <c r="Y91" t="str">
        <f>IF('Sections List'!$B91=24,1,"")</f>
        <v/>
      </c>
      <c r="Z91" t="str">
        <f>IF('Sections List'!$B91=25,1,"")</f>
        <v/>
      </c>
      <c r="AA91" t="str">
        <f>IF('Sections List'!$B91=26,1,"")</f>
        <v/>
      </c>
      <c r="AB91" t="str">
        <f>IF('Sections List'!$B91=27,1,"")</f>
        <v/>
      </c>
      <c r="AC91" t="str">
        <f>IF('Sections List'!$B91=28,1,"")</f>
        <v/>
      </c>
    </row>
    <row r="92" spans="1:29">
      <c r="A92" s="22">
        <f>'Sections List'!A92</f>
        <v>0</v>
      </c>
      <c r="B92" t="str">
        <f>IF('Sections List'!$B92=1,1,"")</f>
        <v/>
      </c>
      <c r="C92" t="str">
        <f>IF('Sections List'!$B92=2,1,"")</f>
        <v/>
      </c>
      <c r="D92" t="str">
        <f>IF('Sections List'!$B92=3,1,"")</f>
        <v/>
      </c>
      <c r="E92" t="str">
        <f>IF('Sections List'!$B92=4,1,"")</f>
        <v/>
      </c>
      <c r="F92" t="str">
        <f>IF('Sections List'!$B92=5,1,"")</f>
        <v/>
      </c>
      <c r="G92" t="str">
        <f>IF('Sections List'!$B92=6,1,"")</f>
        <v/>
      </c>
      <c r="H92" t="str">
        <f>IF('Sections List'!$B92=7,1,"")</f>
        <v/>
      </c>
      <c r="I92" t="str">
        <f>IF('Sections List'!$B92=8,1,"")</f>
        <v/>
      </c>
      <c r="J92" t="str">
        <f>IF('Sections List'!$B92=9,1,"")</f>
        <v/>
      </c>
      <c r="K92" t="str">
        <f>IF('Sections List'!$B92=10,1,"")</f>
        <v/>
      </c>
      <c r="L92" t="str">
        <f>IF('Sections List'!$B92=11,1,"")</f>
        <v/>
      </c>
      <c r="M92" t="str">
        <f>IF('Sections List'!$B92=12,1,"")</f>
        <v/>
      </c>
      <c r="N92" t="str">
        <f>IF('Sections List'!$B92=13,1,"")</f>
        <v/>
      </c>
      <c r="O92" t="str">
        <f>IF('Sections List'!$B92=14,1,"")</f>
        <v/>
      </c>
      <c r="P92" t="str">
        <f>IF('Sections List'!$B92=15,1,"")</f>
        <v/>
      </c>
      <c r="Q92" t="str">
        <f>IF('Sections List'!$B92=16,1,"")</f>
        <v/>
      </c>
      <c r="R92" t="str">
        <f>IF('Sections List'!$B92=17,1,"")</f>
        <v/>
      </c>
      <c r="S92" t="str">
        <f>IF('Sections List'!$B92=18,1,"")</f>
        <v/>
      </c>
      <c r="T92" t="str">
        <f>IF('Sections List'!$B92=19,1,"")</f>
        <v/>
      </c>
      <c r="U92" t="str">
        <f>IF('Sections List'!$B92=20,1,"")</f>
        <v/>
      </c>
      <c r="V92" t="str">
        <f>IF('Sections List'!$B92=21,1,"")</f>
        <v/>
      </c>
      <c r="W92" t="str">
        <f>IF('Sections List'!$B92=22,1,"")</f>
        <v/>
      </c>
      <c r="X92" t="str">
        <f>IF('Sections List'!$B92=23,1,"")</f>
        <v/>
      </c>
      <c r="Y92" t="str">
        <f>IF('Sections List'!$B92=24,1,"")</f>
        <v/>
      </c>
      <c r="Z92" t="str">
        <f>IF('Sections List'!$B92=25,1,"")</f>
        <v/>
      </c>
      <c r="AA92" t="str">
        <f>IF('Sections List'!$B92=26,1,"")</f>
        <v/>
      </c>
      <c r="AB92" t="str">
        <f>IF('Sections List'!$B92=27,1,"")</f>
        <v/>
      </c>
      <c r="AC92" t="str">
        <f>IF('Sections List'!$B92=28,1,"")</f>
        <v/>
      </c>
    </row>
    <row r="93" spans="1:29">
      <c r="A93" s="22">
        <f>'Sections List'!A93</f>
        <v>0</v>
      </c>
      <c r="B93" t="str">
        <f>IF('Sections List'!$B93=1,1,"")</f>
        <v/>
      </c>
      <c r="C93" t="str">
        <f>IF('Sections List'!$B93=2,1,"")</f>
        <v/>
      </c>
      <c r="D93" t="str">
        <f>IF('Sections List'!$B93=3,1,"")</f>
        <v/>
      </c>
      <c r="E93" t="str">
        <f>IF('Sections List'!$B93=4,1,"")</f>
        <v/>
      </c>
      <c r="F93" t="str">
        <f>IF('Sections List'!$B93=5,1,"")</f>
        <v/>
      </c>
      <c r="G93" t="str">
        <f>IF('Sections List'!$B93=6,1,"")</f>
        <v/>
      </c>
      <c r="H93" t="str">
        <f>IF('Sections List'!$B93=7,1,"")</f>
        <v/>
      </c>
      <c r="I93" t="str">
        <f>IF('Sections List'!$B93=8,1,"")</f>
        <v/>
      </c>
      <c r="J93" t="str">
        <f>IF('Sections List'!$B93=9,1,"")</f>
        <v/>
      </c>
      <c r="K93" t="str">
        <f>IF('Sections List'!$B93=10,1,"")</f>
        <v/>
      </c>
      <c r="L93" t="str">
        <f>IF('Sections List'!$B93=11,1,"")</f>
        <v/>
      </c>
      <c r="M93" t="str">
        <f>IF('Sections List'!$B93=12,1,"")</f>
        <v/>
      </c>
      <c r="N93" t="str">
        <f>IF('Sections List'!$B93=13,1,"")</f>
        <v/>
      </c>
      <c r="O93" t="str">
        <f>IF('Sections List'!$B93=14,1,"")</f>
        <v/>
      </c>
      <c r="P93" t="str">
        <f>IF('Sections List'!$B93=15,1,"")</f>
        <v/>
      </c>
      <c r="Q93" t="str">
        <f>IF('Sections List'!$B93=16,1,"")</f>
        <v/>
      </c>
      <c r="R93" t="str">
        <f>IF('Sections List'!$B93=17,1,"")</f>
        <v/>
      </c>
      <c r="S93" t="str">
        <f>IF('Sections List'!$B93=18,1,"")</f>
        <v/>
      </c>
      <c r="T93" t="str">
        <f>IF('Sections List'!$B93=19,1,"")</f>
        <v/>
      </c>
      <c r="U93" t="str">
        <f>IF('Sections List'!$B93=20,1,"")</f>
        <v/>
      </c>
      <c r="V93" t="str">
        <f>IF('Sections List'!$B93=21,1,"")</f>
        <v/>
      </c>
      <c r="W93" t="str">
        <f>IF('Sections List'!$B93=22,1,"")</f>
        <v/>
      </c>
      <c r="X93" t="str">
        <f>IF('Sections List'!$B93=23,1,"")</f>
        <v/>
      </c>
      <c r="Y93" t="str">
        <f>IF('Sections List'!$B93=24,1,"")</f>
        <v/>
      </c>
      <c r="Z93" t="str">
        <f>IF('Sections List'!$B93=25,1,"")</f>
        <v/>
      </c>
      <c r="AA93" t="str">
        <f>IF('Sections List'!$B93=26,1,"")</f>
        <v/>
      </c>
      <c r="AB93" t="str">
        <f>IF('Sections List'!$B93=27,1,"")</f>
        <v/>
      </c>
      <c r="AC93" t="str">
        <f>IF('Sections List'!$B93=28,1,"")</f>
        <v/>
      </c>
    </row>
    <row r="94" spans="1:29">
      <c r="A94" s="22">
        <f>'Sections List'!A94</f>
        <v>0</v>
      </c>
      <c r="B94" t="str">
        <f>IF('Sections List'!$B94=1,1,"")</f>
        <v/>
      </c>
      <c r="C94" t="str">
        <f>IF('Sections List'!$B94=2,1,"")</f>
        <v/>
      </c>
      <c r="D94" t="str">
        <f>IF('Sections List'!$B94=3,1,"")</f>
        <v/>
      </c>
      <c r="E94" t="str">
        <f>IF('Sections List'!$B94=4,1,"")</f>
        <v/>
      </c>
      <c r="F94" t="str">
        <f>IF('Sections List'!$B94=5,1,"")</f>
        <v/>
      </c>
      <c r="G94" t="str">
        <f>IF('Sections List'!$B94=6,1,"")</f>
        <v/>
      </c>
      <c r="H94" t="str">
        <f>IF('Sections List'!$B94=7,1,"")</f>
        <v/>
      </c>
      <c r="I94" t="str">
        <f>IF('Sections List'!$B94=8,1,"")</f>
        <v/>
      </c>
      <c r="J94" t="str">
        <f>IF('Sections List'!$B94=9,1,"")</f>
        <v/>
      </c>
      <c r="K94" t="str">
        <f>IF('Sections List'!$B94=10,1,"")</f>
        <v/>
      </c>
      <c r="L94" t="str">
        <f>IF('Sections List'!$B94=11,1,"")</f>
        <v/>
      </c>
      <c r="M94" t="str">
        <f>IF('Sections List'!$B94=12,1,"")</f>
        <v/>
      </c>
      <c r="N94" t="str">
        <f>IF('Sections List'!$B94=13,1,"")</f>
        <v/>
      </c>
      <c r="O94" t="str">
        <f>IF('Sections List'!$B94=14,1,"")</f>
        <v/>
      </c>
      <c r="P94" t="str">
        <f>IF('Sections List'!$B94=15,1,"")</f>
        <v/>
      </c>
      <c r="Q94" t="str">
        <f>IF('Sections List'!$B94=16,1,"")</f>
        <v/>
      </c>
      <c r="R94" t="str">
        <f>IF('Sections List'!$B94=17,1,"")</f>
        <v/>
      </c>
      <c r="S94" t="str">
        <f>IF('Sections List'!$B94=18,1,"")</f>
        <v/>
      </c>
      <c r="T94" t="str">
        <f>IF('Sections List'!$B94=19,1,"")</f>
        <v/>
      </c>
      <c r="U94" t="str">
        <f>IF('Sections List'!$B94=20,1,"")</f>
        <v/>
      </c>
      <c r="V94" t="str">
        <f>IF('Sections List'!$B94=21,1,"")</f>
        <v/>
      </c>
      <c r="W94" t="str">
        <f>IF('Sections List'!$B94=22,1,"")</f>
        <v/>
      </c>
      <c r="X94" t="str">
        <f>IF('Sections List'!$B94=23,1,"")</f>
        <v/>
      </c>
      <c r="Y94" t="str">
        <f>IF('Sections List'!$B94=24,1,"")</f>
        <v/>
      </c>
      <c r="Z94" t="str">
        <f>IF('Sections List'!$B94=25,1,"")</f>
        <v/>
      </c>
      <c r="AA94" t="str">
        <f>IF('Sections List'!$B94=26,1,"")</f>
        <v/>
      </c>
      <c r="AB94" t="str">
        <f>IF('Sections List'!$B94=27,1,"")</f>
        <v/>
      </c>
      <c r="AC94" t="str">
        <f>IF('Sections List'!$B94=28,1,"")</f>
        <v/>
      </c>
    </row>
    <row r="95" spans="1:29">
      <c r="A95" s="22">
        <f>'Sections List'!A95</f>
        <v>0</v>
      </c>
      <c r="B95" t="str">
        <f>IF('Sections List'!$B95=1,1,"")</f>
        <v/>
      </c>
      <c r="C95" t="str">
        <f>IF('Sections List'!$B95=2,1,"")</f>
        <v/>
      </c>
      <c r="D95" t="str">
        <f>IF('Sections List'!$B95=3,1,"")</f>
        <v/>
      </c>
      <c r="E95" t="str">
        <f>IF('Sections List'!$B95=4,1,"")</f>
        <v/>
      </c>
      <c r="F95" t="str">
        <f>IF('Sections List'!$B95=5,1,"")</f>
        <v/>
      </c>
      <c r="G95" t="str">
        <f>IF('Sections List'!$B95=6,1,"")</f>
        <v/>
      </c>
      <c r="H95" t="str">
        <f>IF('Sections List'!$B95=7,1,"")</f>
        <v/>
      </c>
      <c r="I95" t="str">
        <f>IF('Sections List'!$B95=8,1,"")</f>
        <v/>
      </c>
      <c r="J95" t="str">
        <f>IF('Sections List'!$B95=9,1,"")</f>
        <v/>
      </c>
      <c r="K95" t="str">
        <f>IF('Sections List'!$B95=10,1,"")</f>
        <v/>
      </c>
      <c r="L95" t="str">
        <f>IF('Sections List'!$B95=11,1,"")</f>
        <v/>
      </c>
      <c r="M95" t="str">
        <f>IF('Sections List'!$B95=12,1,"")</f>
        <v/>
      </c>
      <c r="N95" t="str">
        <f>IF('Sections List'!$B95=13,1,"")</f>
        <v/>
      </c>
      <c r="O95" t="str">
        <f>IF('Sections List'!$B95=14,1,"")</f>
        <v/>
      </c>
      <c r="P95" t="str">
        <f>IF('Sections List'!$B95=15,1,"")</f>
        <v/>
      </c>
      <c r="Q95" t="str">
        <f>IF('Sections List'!$B95=16,1,"")</f>
        <v/>
      </c>
      <c r="R95" t="str">
        <f>IF('Sections List'!$B95=17,1,"")</f>
        <v/>
      </c>
      <c r="S95" t="str">
        <f>IF('Sections List'!$B95=18,1,"")</f>
        <v/>
      </c>
      <c r="T95" t="str">
        <f>IF('Sections List'!$B95=19,1,"")</f>
        <v/>
      </c>
      <c r="U95" t="str">
        <f>IF('Sections List'!$B95=20,1,"")</f>
        <v/>
      </c>
      <c r="V95" t="str">
        <f>IF('Sections List'!$B95=21,1,"")</f>
        <v/>
      </c>
      <c r="W95" t="str">
        <f>IF('Sections List'!$B95=22,1,"")</f>
        <v/>
      </c>
      <c r="X95" t="str">
        <f>IF('Sections List'!$B95=23,1,"")</f>
        <v/>
      </c>
      <c r="Y95" t="str">
        <f>IF('Sections List'!$B95=24,1,"")</f>
        <v/>
      </c>
      <c r="Z95" t="str">
        <f>IF('Sections List'!$B95=25,1,"")</f>
        <v/>
      </c>
      <c r="AA95" t="str">
        <f>IF('Sections List'!$B95=26,1,"")</f>
        <v/>
      </c>
      <c r="AB95" t="str">
        <f>IF('Sections List'!$B95=27,1,"")</f>
        <v/>
      </c>
      <c r="AC95" t="str">
        <f>IF('Sections List'!$B95=28,1,"")</f>
        <v/>
      </c>
    </row>
    <row r="96" spans="1:29">
      <c r="A96" s="22">
        <f>'Sections List'!A96</f>
        <v>0</v>
      </c>
      <c r="B96" t="str">
        <f>IF('Sections List'!$B96=1,1,"")</f>
        <v/>
      </c>
      <c r="C96" t="str">
        <f>IF('Sections List'!$B96=2,1,"")</f>
        <v/>
      </c>
      <c r="D96" t="str">
        <f>IF('Sections List'!$B96=3,1,"")</f>
        <v/>
      </c>
      <c r="E96" t="str">
        <f>IF('Sections List'!$B96=4,1,"")</f>
        <v/>
      </c>
      <c r="F96" t="str">
        <f>IF('Sections List'!$B96=5,1,"")</f>
        <v/>
      </c>
      <c r="G96" t="str">
        <f>IF('Sections List'!$B96=6,1,"")</f>
        <v/>
      </c>
      <c r="H96" t="str">
        <f>IF('Sections List'!$B96=7,1,"")</f>
        <v/>
      </c>
      <c r="I96" t="str">
        <f>IF('Sections List'!$B96=8,1,"")</f>
        <v/>
      </c>
      <c r="J96" t="str">
        <f>IF('Sections List'!$B96=9,1,"")</f>
        <v/>
      </c>
      <c r="K96" t="str">
        <f>IF('Sections List'!$B96=10,1,"")</f>
        <v/>
      </c>
      <c r="L96" t="str">
        <f>IF('Sections List'!$B96=11,1,"")</f>
        <v/>
      </c>
      <c r="M96" t="str">
        <f>IF('Sections List'!$B96=12,1,"")</f>
        <v/>
      </c>
      <c r="N96" t="str">
        <f>IF('Sections List'!$B96=13,1,"")</f>
        <v/>
      </c>
      <c r="O96" t="str">
        <f>IF('Sections List'!$B96=14,1,"")</f>
        <v/>
      </c>
      <c r="P96" t="str">
        <f>IF('Sections List'!$B96=15,1,"")</f>
        <v/>
      </c>
      <c r="Q96" t="str">
        <f>IF('Sections List'!$B96=16,1,"")</f>
        <v/>
      </c>
      <c r="R96" t="str">
        <f>IF('Sections List'!$B96=17,1,"")</f>
        <v/>
      </c>
      <c r="S96" t="str">
        <f>IF('Sections List'!$B96=18,1,"")</f>
        <v/>
      </c>
      <c r="T96" t="str">
        <f>IF('Sections List'!$B96=19,1,"")</f>
        <v/>
      </c>
      <c r="U96" t="str">
        <f>IF('Sections List'!$B96=20,1,"")</f>
        <v/>
      </c>
      <c r="V96" t="str">
        <f>IF('Sections List'!$B96=21,1,"")</f>
        <v/>
      </c>
      <c r="W96" t="str">
        <f>IF('Sections List'!$B96=22,1,"")</f>
        <v/>
      </c>
      <c r="X96" t="str">
        <f>IF('Sections List'!$B96=23,1,"")</f>
        <v/>
      </c>
      <c r="Y96" t="str">
        <f>IF('Sections List'!$B96=24,1,"")</f>
        <v/>
      </c>
      <c r="Z96" t="str">
        <f>IF('Sections List'!$B96=25,1,"")</f>
        <v/>
      </c>
      <c r="AA96" t="str">
        <f>IF('Sections List'!$B96=26,1,"")</f>
        <v/>
      </c>
      <c r="AB96" t="str">
        <f>IF('Sections List'!$B96=27,1,"")</f>
        <v/>
      </c>
      <c r="AC96" t="str">
        <f>IF('Sections List'!$B96=28,1,"")</f>
        <v/>
      </c>
    </row>
    <row r="97" spans="1:29">
      <c r="A97" s="22">
        <f>'Sections List'!A97</f>
        <v>0</v>
      </c>
      <c r="B97" t="str">
        <f>IF('Sections List'!$B97=1,1,"")</f>
        <v/>
      </c>
      <c r="C97" t="str">
        <f>IF('Sections List'!$B97=2,1,"")</f>
        <v/>
      </c>
      <c r="D97" t="str">
        <f>IF('Sections List'!$B97=3,1,"")</f>
        <v/>
      </c>
      <c r="E97" t="str">
        <f>IF('Sections List'!$B97=4,1,"")</f>
        <v/>
      </c>
      <c r="F97" t="str">
        <f>IF('Sections List'!$B97=5,1,"")</f>
        <v/>
      </c>
      <c r="G97" t="str">
        <f>IF('Sections List'!$B97=6,1,"")</f>
        <v/>
      </c>
      <c r="H97" t="str">
        <f>IF('Sections List'!$B97=7,1,"")</f>
        <v/>
      </c>
      <c r="I97" t="str">
        <f>IF('Sections List'!$B97=8,1,"")</f>
        <v/>
      </c>
      <c r="J97" t="str">
        <f>IF('Sections List'!$B97=9,1,"")</f>
        <v/>
      </c>
      <c r="K97" t="str">
        <f>IF('Sections List'!$B97=10,1,"")</f>
        <v/>
      </c>
      <c r="L97" t="str">
        <f>IF('Sections List'!$B97=11,1,"")</f>
        <v/>
      </c>
      <c r="M97" t="str">
        <f>IF('Sections List'!$B97=12,1,"")</f>
        <v/>
      </c>
      <c r="N97" t="str">
        <f>IF('Sections List'!$B97=13,1,"")</f>
        <v/>
      </c>
      <c r="O97" t="str">
        <f>IF('Sections List'!$B97=14,1,"")</f>
        <v/>
      </c>
      <c r="P97" t="str">
        <f>IF('Sections List'!$B97=15,1,"")</f>
        <v/>
      </c>
      <c r="Q97" t="str">
        <f>IF('Sections List'!$B97=16,1,"")</f>
        <v/>
      </c>
      <c r="R97" t="str">
        <f>IF('Sections List'!$B97=17,1,"")</f>
        <v/>
      </c>
      <c r="S97" t="str">
        <f>IF('Sections List'!$B97=18,1,"")</f>
        <v/>
      </c>
      <c r="T97" t="str">
        <f>IF('Sections List'!$B97=19,1,"")</f>
        <v/>
      </c>
      <c r="U97" t="str">
        <f>IF('Sections List'!$B97=20,1,"")</f>
        <v/>
      </c>
      <c r="V97" t="str">
        <f>IF('Sections List'!$B97=21,1,"")</f>
        <v/>
      </c>
      <c r="W97" t="str">
        <f>IF('Sections List'!$B97=22,1,"")</f>
        <v/>
      </c>
      <c r="X97" t="str">
        <f>IF('Sections List'!$B97=23,1,"")</f>
        <v/>
      </c>
      <c r="Y97" t="str">
        <f>IF('Sections List'!$B97=24,1,"")</f>
        <v/>
      </c>
      <c r="Z97" t="str">
        <f>IF('Sections List'!$B97=25,1,"")</f>
        <v/>
      </c>
      <c r="AA97" t="str">
        <f>IF('Sections List'!$B97=26,1,"")</f>
        <v/>
      </c>
      <c r="AB97" t="str">
        <f>IF('Sections List'!$B97=27,1,"")</f>
        <v/>
      </c>
      <c r="AC97" t="str">
        <f>IF('Sections List'!$B97=28,1,"")</f>
        <v/>
      </c>
    </row>
    <row r="98" spans="1:29">
      <c r="A98" s="22">
        <f>'Sections List'!A98</f>
        <v>0</v>
      </c>
      <c r="B98" t="str">
        <f>IF('Sections List'!$B98=1,1,"")</f>
        <v/>
      </c>
      <c r="C98" t="str">
        <f>IF('Sections List'!$B98=2,1,"")</f>
        <v/>
      </c>
      <c r="D98" t="str">
        <f>IF('Sections List'!$B98=3,1,"")</f>
        <v/>
      </c>
      <c r="E98" t="str">
        <f>IF('Sections List'!$B98=4,1,"")</f>
        <v/>
      </c>
      <c r="F98" t="str">
        <f>IF('Sections List'!$B98=5,1,"")</f>
        <v/>
      </c>
      <c r="G98" t="str">
        <f>IF('Sections List'!$B98=6,1,"")</f>
        <v/>
      </c>
      <c r="H98" t="str">
        <f>IF('Sections List'!$B98=7,1,"")</f>
        <v/>
      </c>
      <c r="I98" t="str">
        <f>IF('Sections List'!$B98=8,1,"")</f>
        <v/>
      </c>
      <c r="J98" t="str">
        <f>IF('Sections List'!$B98=9,1,"")</f>
        <v/>
      </c>
      <c r="K98" t="str">
        <f>IF('Sections List'!$B98=10,1,"")</f>
        <v/>
      </c>
      <c r="L98" t="str">
        <f>IF('Sections List'!$B98=11,1,"")</f>
        <v/>
      </c>
      <c r="M98" t="str">
        <f>IF('Sections List'!$B98=12,1,"")</f>
        <v/>
      </c>
      <c r="N98" t="str">
        <f>IF('Sections List'!$B98=13,1,"")</f>
        <v/>
      </c>
      <c r="O98" t="str">
        <f>IF('Sections List'!$B98=14,1,"")</f>
        <v/>
      </c>
      <c r="P98" t="str">
        <f>IF('Sections List'!$B98=15,1,"")</f>
        <v/>
      </c>
      <c r="Q98" t="str">
        <f>IF('Sections List'!$B98=16,1,"")</f>
        <v/>
      </c>
      <c r="R98" t="str">
        <f>IF('Sections List'!$B98=17,1,"")</f>
        <v/>
      </c>
      <c r="S98" t="str">
        <f>IF('Sections List'!$B98=18,1,"")</f>
        <v/>
      </c>
      <c r="T98" t="str">
        <f>IF('Sections List'!$B98=19,1,"")</f>
        <v/>
      </c>
      <c r="U98" t="str">
        <f>IF('Sections List'!$B98=20,1,"")</f>
        <v/>
      </c>
      <c r="V98" t="str">
        <f>IF('Sections List'!$B98=21,1,"")</f>
        <v/>
      </c>
      <c r="W98" t="str">
        <f>IF('Sections List'!$B98=22,1,"")</f>
        <v/>
      </c>
      <c r="X98" t="str">
        <f>IF('Sections List'!$B98=23,1,"")</f>
        <v/>
      </c>
      <c r="Y98" t="str">
        <f>IF('Sections List'!$B98=24,1,"")</f>
        <v/>
      </c>
      <c r="Z98" t="str">
        <f>IF('Sections List'!$B98=25,1,"")</f>
        <v/>
      </c>
      <c r="AA98" t="str">
        <f>IF('Sections List'!$B98=26,1,"")</f>
        <v/>
      </c>
      <c r="AB98" t="str">
        <f>IF('Sections List'!$B98=27,1,"")</f>
        <v/>
      </c>
      <c r="AC98" t="str">
        <f>IF('Sections List'!$B98=28,1,"")</f>
        <v/>
      </c>
    </row>
    <row r="99" spans="1:29">
      <c r="A99" s="22">
        <f>'Sections List'!A99</f>
        <v>0</v>
      </c>
      <c r="B99" t="str">
        <f>IF('Sections List'!$B99=1,1,"")</f>
        <v/>
      </c>
      <c r="C99" t="str">
        <f>IF('Sections List'!$B99=2,1,"")</f>
        <v/>
      </c>
      <c r="D99" t="str">
        <f>IF('Sections List'!$B99=3,1,"")</f>
        <v/>
      </c>
      <c r="E99" t="str">
        <f>IF('Sections List'!$B99=4,1,"")</f>
        <v/>
      </c>
      <c r="F99" t="str">
        <f>IF('Sections List'!$B99=5,1,"")</f>
        <v/>
      </c>
      <c r="G99" t="str">
        <f>IF('Sections List'!$B99=6,1,"")</f>
        <v/>
      </c>
      <c r="H99" t="str">
        <f>IF('Sections List'!$B99=7,1,"")</f>
        <v/>
      </c>
      <c r="I99" t="str">
        <f>IF('Sections List'!$B99=8,1,"")</f>
        <v/>
      </c>
      <c r="J99" t="str">
        <f>IF('Sections List'!$B99=9,1,"")</f>
        <v/>
      </c>
      <c r="K99" t="str">
        <f>IF('Sections List'!$B99=10,1,"")</f>
        <v/>
      </c>
      <c r="L99" t="str">
        <f>IF('Sections List'!$B99=11,1,"")</f>
        <v/>
      </c>
      <c r="M99" t="str">
        <f>IF('Sections List'!$B99=12,1,"")</f>
        <v/>
      </c>
      <c r="N99" t="str">
        <f>IF('Sections List'!$B99=13,1,"")</f>
        <v/>
      </c>
      <c r="O99" t="str">
        <f>IF('Sections List'!$B99=14,1,"")</f>
        <v/>
      </c>
      <c r="P99" t="str">
        <f>IF('Sections List'!$B99=15,1,"")</f>
        <v/>
      </c>
      <c r="Q99" t="str">
        <f>IF('Sections List'!$B99=16,1,"")</f>
        <v/>
      </c>
      <c r="R99" t="str">
        <f>IF('Sections List'!$B99=17,1,"")</f>
        <v/>
      </c>
      <c r="S99" t="str">
        <f>IF('Sections List'!$B99=18,1,"")</f>
        <v/>
      </c>
      <c r="T99" t="str">
        <f>IF('Sections List'!$B99=19,1,"")</f>
        <v/>
      </c>
      <c r="U99" t="str">
        <f>IF('Sections List'!$B99=20,1,"")</f>
        <v/>
      </c>
      <c r="V99" t="str">
        <f>IF('Sections List'!$B99=21,1,"")</f>
        <v/>
      </c>
      <c r="W99" t="str">
        <f>IF('Sections List'!$B99=22,1,"")</f>
        <v/>
      </c>
      <c r="X99" t="str">
        <f>IF('Sections List'!$B99=23,1,"")</f>
        <v/>
      </c>
      <c r="Y99" t="str">
        <f>IF('Sections List'!$B99=24,1,"")</f>
        <v/>
      </c>
      <c r="Z99" t="str">
        <f>IF('Sections List'!$B99=25,1,"")</f>
        <v/>
      </c>
      <c r="AA99" t="str">
        <f>IF('Sections List'!$B99=26,1,"")</f>
        <v/>
      </c>
      <c r="AB99" t="str">
        <f>IF('Sections List'!$B99=27,1,"")</f>
        <v/>
      </c>
      <c r="AC99" t="str">
        <f>IF('Sections List'!$B99=28,1,"")</f>
        <v/>
      </c>
    </row>
    <row r="100" spans="1:29">
      <c r="A100" s="22">
        <f>'Sections List'!A100</f>
        <v>0</v>
      </c>
      <c r="B100" t="str">
        <f>IF('Sections List'!$B100=1,1,"")</f>
        <v/>
      </c>
      <c r="C100" t="str">
        <f>IF('Sections List'!$B100=2,1,"")</f>
        <v/>
      </c>
      <c r="D100" t="str">
        <f>IF('Sections List'!$B100=3,1,"")</f>
        <v/>
      </c>
      <c r="E100" t="str">
        <f>IF('Sections List'!$B100=4,1,"")</f>
        <v/>
      </c>
      <c r="F100" t="str">
        <f>IF('Sections List'!$B100=5,1,"")</f>
        <v/>
      </c>
      <c r="G100" t="str">
        <f>IF('Sections List'!$B100=6,1,"")</f>
        <v/>
      </c>
      <c r="H100" t="str">
        <f>IF('Sections List'!$B100=7,1,"")</f>
        <v/>
      </c>
      <c r="I100" t="str">
        <f>IF('Sections List'!$B100=8,1,"")</f>
        <v/>
      </c>
      <c r="J100" t="str">
        <f>IF('Sections List'!$B100=9,1,"")</f>
        <v/>
      </c>
      <c r="K100" t="str">
        <f>IF('Sections List'!$B100=10,1,"")</f>
        <v/>
      </c>
      <c r="L100" t="str">
        <f>IF('Sections List'!$B100=11,1,"")</f>
        <v/>
      </c>
      <c r="M100" t="str">
        <f>IF('Sections List'!$B100=12,1,"")</f>
        <v/>
      </c>
      <c r="N100" t="str">
        <f>IF('Sections List'!$B100=13,1,"")</f>
        <v/>
      </c>
      <c r="O100" t="str">
        <f>IF('Sections List'!$B100=14,1,"")</f>
        <v/>
      </c>
      <c r="P100" t="str">
        <f>IF('Sections List'!$B100=15,1,"")</f>
        <v/>
      </c>
      <c r="Q100" t="str">
        <f>IF('Sections List'!$B100=16,1,"")</f>
        <v/>
      </c>
      <c r="R100" t="str">
        <f>IF('Sections List'!$B100=17,1,"")</f>
        <v/>
      </c>
      <c r="S100" t="str">
        <f>IF('Sections List'!$B100=18,1,"")</f>
        <v/>
      </c>
      <c r="T100" t="str">
        <f>IF('Sections List'!$B100=19,1,"")</f>
        <v/>
      </c>
      <c r="U100" t="str">
        <f>IF('Sections List'!$B100=20,1,"")</f>
        <v/>
      </c>
      <c r="V100" t="str">
        <f>IF('Sections List'!$B100=21,1,"")</f>
        <v/>
      </c>
      <c r="W100" t="str">
        <f>IF('Sections List'!$B100=22,1,"")</f>
        <v/>
      </c>
      <c r="X100" t="str">
        <f>IF('Sections List'!$B100=23,1,"")</f>
        <v/>
      </c>
      <c r="Y100" t="str">
        <f>IF('Sections List'!$B100=24,1,"")</f>
        <v/>
      </c>
      <c r="Z100" t="str">
        <f>IF('Sections List'!$B100=25,1,"")</f>
        <v/>
      </c>
      <c r="AA100" t="str">
        <f>IF('Sections List'!$B100=26,1,"")</f>
        <v/>
      </c>
      <c r="AB100" t="str">
        <f>IF('Sections List'!$B100=27,1,"")</f>
        <v/>
      </c>
      <c r="AC100" t="str">
        <f>IF('Sections List'!$B100=28,1,"")</f>
        <v/>
      </c>
    </row>
    <row r="101" spans="1:29">
      <c r="A101" s="22">
        <f>'Sections List'!A101</f>
        <v>0</v>
      </c>
      <c r="B101" t="str">
        <f>IF('Sections List'!$B101=1,1,"")</f>
        <v/>
      </c>
      <c r="C101" t="str">
        <f>IF('Sections List'!$B101=2,1,"")</f>
        <v/>
      </c>
      <c r="D101" t="str">
        <f>IF('Sections List'!$B101=3,1,"")</f>
        <v/>
      </c>
      <c r="E101" t="str">
        <f>IF('Sections List'!$B101=4,1,"")</f>
        <v/>
      </c>
      <c r="F101" t="str">
        <f>IF('Sections List'!$B101=5,1,"")</f>
        <v/>
      </c>
      <c r="G101" t="str">
        <f>IF('Sections List'!$B101=6,1,"")</f>
        <v/>
      </c>
      <c r="H101" t="str">
        <f>IF('Sections List'!$B101=7,1,"")</f>
        <v/>
      </c>
      <c r="I101" t="str">
        <f>IF('Sections List'!$B101=8,1,"")</f>
        <v/>
      </c>
      <c r="J101" t="str">
        <f>IF('Sections List'!$B101=9,1,"")</f>
        <v/>
      </c>
      <c r="K101" t="str">
        <f>IF('Sections List'!$B101=10,1,"")</f>
        <v/>
      </c>
      <c r="L101" t="str">
        <f>IF('Sections List'!$B101=11,1,"")</f>
        <v/>
      </c>
      <c r="M101" t="str">
        <f>IF('Sections List'!$B101=12,1,"")</f>
        <v/>
      </c>
      <c r="N101" t="str">
        <f>IF('Sections List'!$B101=13,1,"")</f>
        <v/>
      </c>
      <c r="O101" t="str">
        <f>IF('Sections List'!$B101=14,1,"")</f>
        <v/>
      </c>
      <c r="P101" t="str">
        <f>IF('Sections List'!$B101=15,1,"")</f>
        <v/>
      </c>
      <c r="Q101" t="str">
        <f>IF('Sections List'!$B101=16,1,"")</f>
        <v/>
      </c>
      <c r="R101" t="str">
        <f>IF('Sections List'!$B101=17,1,"")</f>
        <v/>
      </c>
      <c r="S101" t="str">
        <f>IF('Sections List'!$B101=18,1,"")</f>
        <v/>
      </c>
      <c r="T101" t="str">
        <f>IF('Sections List'!$B101=19,1,"")</f>
        <v/>
      </c>
      <c r="U101" t="str">
        <f>IF('Sections List'!$B101=20,1,"")</f>
        <v/>
      </c>
      <c r="V101" t="str">
        <f>IF('Sections List'!$B101=21,1,"")</f>
        <v/>
      </c>
      <c r="W101" t="str">
        <f>IF('Sections List'!$B101=22,1,"")</f>
        <v/>
      </c>
      <c r="X101" t="str">
        <f>IF('Sections List'!$B101=23,1,"")</f>
        <v/>
      </c>
      <c r="Y101" t="str">
        <f>IF('Sections List'!$B101=24,1,"")</f>
        <v/>
      </c>
      <c r="Z101" t="str">
        <f>IF('Sections List'!$B101=25,1,"")</f>
        <v/>
      </c>
      <c r="AA101" t="str">
        <f>IF('Sections List'!$B101=26,1,"")</f>
        <v/>
      </c>
      <c r="AB101" t="str">
        <f>IF('Sections List'!$B101=27,1,"")</f>
        <v/>
      </c>
      <c r="AC101" t="str">
        <f>IF('Sections List'!$B101=28,1,"")</f>
        <v/>
      </c>
    </row>
    <row r="102" spans="1:29">
      <c r="B102">
        <f>SUM(B2:B101)</f>
        <v>0</v>
      </c>
      <c r="C102">
        <f t="shared" ref="C102:AC102" si="0">SUM(C2:C101)</f>
        <v>0</v>
      </c>
      <c r="D102">
        <f t="shared" si="0"/>
        <v>0</v>
      </c>
      <c r="E102">
        <f t="shared" si="0"/>
        <v>0</v>
      </c>
      <c r="F102">
        <f t="shared" si="0"/>
        <v>0</v>
      </c>
      <c r="G102">
        <f t="shared" si="0"/>
        <v>0</v>
      </c>
      <c r="H102">
        <f t="shared" si="0"/>
        <v>0</v>
      </c>
      <c r="I102">
        <f t="shared" si="0"/>
        <v>0</v>
      </c>
      <c r="J102">
        <f t="shared" si="0"/>
        <v>0</v>
      </c>
      <c r="K102">
        <f t="shared" si="0"/>
        <v>0</v>
      </c>
      <c r="L102">
        <f t="shared" si="0"/>
        <v>0</v>
      </c>
      <c r="M102">
        <f t="shared" si="0"/>
        <v>0</v>
      </c>
      <c r="N102">
        <f t="shared" si="0"/>
        <v>0</v>
      </c>
      <c r="O102">
        <f t="shared" si="0"/>
        <v>0</v>
      </c>
      <c r="P102">
        <f t="shared" si="0"/>
        <v>0</v>
      </c>
      <c r="Q102">
        <f t="shared" si="0"/>
        <v>0</v>
      </c>
      <c r="R102">
        <f t="shared" si="0"/>
        <v>0</v>
      </c>
      <c r="S102">
        <f t="shared" si="0"/>
        <v>0</v>
      </c>
      <c r="T102">
        <f t="shared" si="0"/>
        <v>0</v>
      </c>
      <c r="U102">
        <f t="shared" si="0"/>
        <v>0</v>
      </c>
      <c r="V102">
        <f t="shared" si="0"/>
        <v>0</v>
      </c>
      <c r="W102">
        <f t="shared" si="0"/>
        <v>0</v>
      </c>
      <c r="X102">
        <f t="shared" si="0"/>
        <v>0</v>
      </c>
      <c r="Y102">
        <f t="shared" si="0"/>
        <v>0</v>
      </c>
      <c r="Z102">
        <f t="shared" si="0"/>
        <v>0</v>
      </c>
      <c r="AA102">
        <f t="shared" si="0"/>
        <v>0</v>
      </c>
      <c r="AB102">
        <f t="shared" si="0"/>
        <v>0</v>
      </c>
      <c r="AC102">
        <f t="shared" si="0"/>
        <v>0</v>
      </c>
    </row>
  </sheetData>
  <conditionalFormatting sqref="A2:A101">
    <cfRule type="cellIs" dxfId="60" priority="1" operator="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6"/>
  <sheetViews>
    <sheetView tabSelected="1" workbookViewId="0">
      <selection activeCell="AB22" sqref="AB22"/>
    </sheetView>
  </sheetViews>
  <sheetFormatPr defaultColWidth="11" defaultRowHeight="15.75"/>
  <cols>
    <col min="1" max="1" width="16.625" bestFit="1" customWidth="1"/>
    <col min="2" max="2" width="21" customWidth="1"/>
    <col min="3" max="3" width="4.5" customWidth="1"/>
    <col min="4" max="4" width="14.875" bestFit="1" customWidth="1"/>
    <col min="5" max="32" width="3" customWidth="1"/>
  </cols>
  <sheetData>
    <row r="1" spans="1:32">
      <c r="A1" s="1" t="s">
        <v>243</v>
      </c>
      <c r="B1" s="1"/>
      <c r="C1" s="1" t="s">
        <v>244</v>
      </c>
      <c r="D1" s="1" t="s">
        <v>245</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2">
      <c r="A2">
        <v>29</v>
      </c>
      <c r="B2" t="s">
        <v>112</v>
      </c>
      <c r="C2" t="s">
        <v>230</v>
      </c>
      <c r="D2">
        <v>1</v>
      </c>
      <c r="E2">
        <v>5</v>
      </c>
      <c r="F2">
        <v>10</v>
      </c>
      <c r="G2">
        <v>1</v>
      </c>
      <c r="H2">
        <v>1</v>
      </c>
      <c r="I2">
        <v>1</v>
      </c>
      <c r="J2">
        <v>1</v>
      </c>
      <c r="K2">
        <v>1</v>
      </c>
      <c r="L2">
        <v>1</v>
      </c>
      <c r="M2">
        <v>1</v>
      </c>
      <c r="N2">
        <v>1</v>
      </c>
      <c r="O2">
        <v>1</v>
      </c>
      <c r="P2">
        <v>1</v>
      </c>
      <c r="Q2">
        <v>1</v>
      </c>
      <c r="R2">
        <v>1</v>
      </c>
      <c r="S2">
        <v>1</v>
      </c>
      <c r="T2">
        <v>1</v>
      </c>
      <c r="U2">
        <v>1</v>
      </c>
      <c r="V2">
        <v>1</v>
      </c>
      <c r="W2">
        <v>1</v>
      </c>
      <c r="X2">
        <v>1</v>
      </c>
      <c r="Y2">
        <v>1</v>
      </c>
      <c r="Z2">
        <v>1</v>
      </c>
      <c r="AA2">
        <v>1</v>
      </c>
      <c r="AB2">
        <v>1</v>
      </c>
      <c r="AC2">
        <v>1</v>
      </c>
      <c r="AD2">
        <v>1</v>
      </c>
      <c r="AE2">
        <v>1</v>
      </c>
      <c r="AF2">
        <v>1</v>
      </c>
    </row>
    <row r="3" spans="1:32">
      <c r="B3" t="s">
        <v>113</v>
      </c>
      <c r="C3" t="s">
        <v>230</v>
      </c>
      <c r="D3">
        <v>1</v>
      </c>
      <c r="E3">
        <v>1</v>
      </c>
      <c r="F3">
        <v>1</v>
      </c>
      <c r="G3">
        <v>1</v>
      </c>
      <c r="H3">
        <v>1</v>
      </c>
      <c r="I3">
        <v>1</v>
      </c>
      <c r="J3">
        <v>1</v>
      </c>
      <c r="K3">
        <v>1</v>
      </c>
      <c r="L3">
        <v>1</v>
      </c>
      <c r="M3">
        <v>1</v>
      </c>
      <c r="N3">
        <v>1</v>
      </c>
      <c r="O3">
        <v>1</v>
      </c>
      <c r="P3">
        <v>1</v>
      </c>
      <c r="Q3">
        <v>1</v>
      </c>
      <c r="R3">
        <v>1</v>
      </c>
      <c r="S3">
        <v>1</v>
      </c>
      <c r="T3">
        <v>1</v>
      </c>
      <c r="U3">
        <v>1</v>
      </c>
      <c r="V3">
        <v>1</v>
      </c>
      <c r="W3">
        <v>1</v>
      </c>
      <c r="X3">
        <v>1</v>
      </c>
      <c r="Y3">
        <v>1</v>
      </c>
      <c r="Z3">
        <v>1</v>
      </c>
      <c r="AA3">
        <v>1</v>
      </c>
      <c r="AB3">
        <v>1</v>
      </c>
      <c r="AC3">
        <v>1</v>
      </c>
      <c r="AD3">
        <v>1</v>
      </c>
      <c r="AE3">
        <v>1</v>
      </c>
      <c r="AF3">
        <v>1</v>
      </c>
    </row>
    <row r="4" spans="1:32">
      <c r="B4" t="s">
        <v>114</v>
      </c>
      <c r="C4" t="s">
        <v>230</v>
      </c>
      <c r="D4">
        <v>1</v>
      </c>
      <c r="E4">
        <v>5</v>
      </c>
      <c r="F4">
        <v>5</v>
      </c>
      <c r="G4">
        <v>5</v>
      </c>
      <c r="H4">
        <v>5</v>
      </c>
      <c r="I4">
        <v>5</v>
      </c>
      <c r="J4">
        <v>5</v>
      </c>
      <c r="K4">
        <v>5</v>
      </c>
      <c r="L4">
        <v>1</v>
      </c>
      <c r="M4">
        <v>1</v>
      </c>
      <c r="N4">
        <v>1</v>
      </c>
      <c r="O4">
        <v>1</v>
      </c>
      <c r="P4">
        <v>1</v>
      </c>
      <c r="Q4">
        <v>1</v>
      </c>
      <c r="R4">
        <v>1</v>
      </c>
      <c r="S4">
        <v>1</v>
      </c>
      <c r="T4">
        <v>1</v>
      </c>
      <c r="U4">
        <v>1</v>
      </c>
      <c r="V4">
        <v>1</v>
      </c>
      <c r="W4">
        <v>1</v>
      </c>
      <c r="X4">
        <v>1</v>
      </c>
      <c r="Y4">
        <v>1</v>
      </c>
      <c r="Z4">
        <v>1</v>
      </c>
      <c r="AA4">
        <v>1</v>
      </c>
      <c r="AB4">
        <v>1</v>
      </c>
      <c r="AC4">
        <v>1</v>
      </c>
      <c r="AD4">
        <v>1</v>
      </c>
      <c r="AE4">
        <v>1</v>
      </c>
      <c r="AF4">
        <v>1</v>
      </c>
    </row>
    <row r="5" spans="1:32">
      <c r="B5" t="s">
        <v>115</v>
      </c>
      <c r="C5" t="s">
        <v>230</v>
      </c>
      <c r="D5">
        <v>1</v>
      </c>
      <c r="E5">
        <v>5</v>
      </c>
      <c r="F5">
        <v>5</v>
      </c>
      <c r="G5">
        <v>5</v>
      </c>
      <c r="H5">
        <v>5</v>
      </c>
      <c r="I5">
        <v>5</v>
      </c>
      <c r="J5">
        <v>5</v>
      </c>
      <c r="K5">
        <v>5</v>
      </c>
      <c r="L5">
        <v>1</v>
      </c>
      <c r="M5">
        <v>1</v>
      </c>
      <c r="N5">
        <v>1</v>
      </c>
      <c r="O5">
        <v>1</v>
      </c>
      <c r="P5">
        <v>1</v>
      </c>
      <c r="Q5">
        <v>1</v>
      </c>
      <c r="R5">
        <v>1</v>
      </c>
      <c r="S5">
        <v>1</v>
      </c>
      <c r="T5">
        <v>1</v>
      </c>
      <c r="U5">
        <v>1</v>
      </c>
      <c r="V5">
        <v>1</v>
      </c>
      <c r="W5">
        <v>1</v>
      </c>
      <c r="X5">
        <v>1</v>
      </c>
      <c r="Y5">
        <v>1</v>
      </c>
      <c r="Z5">
        <v>1</v>
      </c>
      <c r="AA5">
        <v>1</v>
      </c>
      <c r="AB5">
        <v>1</v>
      </c>
      <c r="AC5">
        <v>1</v>
      </c>
      <c r="AD5">
        <v>1</v>
      </c>
      <c r="AE5">
        <v>1</v>
      </c>
      <c r="AF5">
        <v>1</v>
      </c>
    </row>
    <row r="6" spans="1:32">
      <c r="B6" t="s">
        <v>116</v>
      </c>
      <c r="C6" t="s">
        <v>230</v>
      </c>
      <c r="D6">
        <v>1</v>
      </c>
      <c r="E6">
        <v>5</v>
      </c>
      <c r="F6">
        <v>5</v>
      </c>
      <c r="G6">
        <v>5</v>
      </c>
      <c r="H6">
        <v>5</v>
      </c>
      <c r="I6">
        <v>5</v>
      </c>
      <c r="J6">
        <v>5</v>
      </c>
      <c r="K6">
        <v>5</v>
      </c>
      <c r="L6">
        <v>1</v>
      </c>
      <c r="M6">
        <v>1</v>
      </c>
      <c r="N6">
        <v>1</v>
      </c>
      <c r="O6">
        <v>1</v>
      </c>
      <c r="P6">
        <v>1</v>
      </c>
      <c r="Q6">
        <v>1</v>
      </c>
      <c r="R6">
        <v>1</v>
      </c>
      <c r="S6">
        <v>1</v>
      </c>
      <c r="T6">
        <v>1</v>
      </c>
      <c r="U6">
        <v>1</v>
      </c>
      <c r="V6">
        <v>5</v>
      </c>
      <c r="W6">
        <v>1</v>
      </c>
      <c r="X6">
        <v>1</v>
      </c>
      <c r="Y6">
        <v>1</v>
      </c>
      <c r="Z6">
        <v>1</v>
      </c>
      <c r="AA6">
        <v>1</v>
      </c>
      <c r="AB6">
        <v>1</v>
      </c>
      <c r="AC6">
        <v>1</v>
      </c>
      <c r="AD6">
        <v>1</v>
      </c>
      <c r="AE6">
        <v>1</v>
      </c>
      <c r="AF6">
        <v>1</v>
      </c>
    </row>
    <row r="7" spans="1:32">
      <c r="B7" t="s">
        <v>117</v>
      </c>
      <c r="C7" t="s">
        <v>230</v>
      </c>
      <c r="D7">
        <v>1</v>
      </c>
      <c r="E7">
        <v>5</v>
      </c>
      <c r="F7">
        <v>5</v>
      </c>
      <c r="G7">
        <v>5</v>
      </c>
      <c r="H7">
        <v>5</v>
      </c>
      <c r="I7">
        <v>5</v>
      </c>
      <c r="J7">
        <v>5</v>
      </c>
      <c r="K7">
        <v>5</v>
      </c>
      <c r="L7">
        <v>1</v>
      </c>
      <c r="M7">
        <v>1</v>
      </c>
      <c r="N7">
        <v>1</v>
      </c>
      <c r="O7">
        <v>1</v>
      </c>
      <c r="P7">
        <v>1</v>
      </c>
      <c r="Q7">
        <v>1</v>
      </c>
      <c r="R7">
        <v>1</v>
      </c>
      <c r="S7">
        <v>1</v>
      </c>
      <c r="T7">
        <v>1</v>
      </c>
      <c r="U7">
        <v>1</v>
      </c>
      <c r="V7">
        <v>1</v>
      </c>
      <c r="W7">
        <v>1</v>
      </c>
      <c r="X7">
        <v>1</v>
      </c>
      <c r="Y7">
        <v>1</v>
      </c>
      <c r="Z7">
        <v>1</v>
      </c>
      <c r="AA7">
        <v>1</v>
      </c>
      <c r="AB7">
        <v>1</v>
      </c>
      <c r="AC7">
        <v>1</v>
      </c>
      <c r="AD7">
        <v>1</v>
      </c>
      <c r="AE7">
        <v>1</v>
      </c>
      <c r="AF7">
        <v>1</v>
      </c>
    </row>
    <row r="8" spans="1:32">
      <c r="B8" t="s">
        <v>118</v>
      </c>
      <c r="C8" t="s">
        <v>230</v>
      </c>
      <c r="D8">
        <v>1</v>
      </c>
      <c r="E8">
        <v>5</v>
      </c>
      <c r="F8">
        <v>5</v>
      </c>
      <c r="G8">
        <v>5</v>
      </c>
      <c r="H8">
        <v>5</v>
      </c>
      <c r="I8">
        <v>5</v>
      </c>
      <c r="J8">
        <v>5</v>
      </c>
      <c r="K8">
        <v>5</v>
      </c>
      <c r="L8">
        <v>1</v>
      </c>
      <c r="M8">
        <v>1</v>
      </c>
      <c r="N8">
        <v>1</v>
      </c>
      <c r="O8">
        <v>1</v>
      </c>
      <c r="P8">
        <v>1</v>
      </c>
      <c r="Q8">
        <v>1</v>
      </c>
      <c r="R8">
        <v>1</v>
      </c>
      <c r="S8">
        <v>1</v>
      </c>
      <c r="T8">
        <v>1</v>
      </c>
      <c r="U8">
        <v>1</v>
      </c>
      <c r="V8">
        <v>1</v>
      </c>
      <c r="W8">
        <v>1</v>
      </c>
      <c r="X8">
        <v>1</v>
      </c>
      <c r="Y8">
        <v>1</v>
      </c>
      <c r="Z8">
        <v>1</v>
      </c>
      <c r="AA8">
        <v>1</v>
      </c>
      <c r="AB8">
        <v>1</v>
      </c>
      <c r="AC8">
        <v>1</v>
      </c>
      <c r="AD8">
        <v>1</v>
      </c>
      <c r="AE8">
        <v>1</v>
      </c>
      <c r="AF8">
        <v>1</v>
      </c>
    </row>
    <row r="9" spans="1:32">
      <c r="B9" t="s">
        <v>119</v>
      </c>
      <c r="C9" t="s">
        <v>230</v>
      </c>
      <c r="D9">
        <v>1</v>
      </c>
      <c r="E9">
        <v>5</v>
      </c>
      <c r="F9">
        <v>5</v>
      </c>
      <c r="G9">
        <v>5</v>
      </c>
      <c r="H9">
        <v>5</v>
      </c>
      <c r="I9">
        <v>5</v>
      </c>
      <c r="J9">
        <v>5</v>
      </c>
      <c r="K9">
        <v>5</v>
      </c>
      <c r="L9">
        <v>1</v>
      </c>
      <c r="M9">
        <v>1</v>
      </c>
      <c r="N9">
        <v>1</v>
      </c>
      <c r="O9">
        <v>1</v>
      </c>
      <c r="P9">
        <v>1</v>
      </c>
      <c r="Q9">
        <v>1</v>
      </c>
      <c r="R9">
        <v>1</v>
      </c>
      <c r="S9">
        <v>1</v>
      </c>
      <c r="T9">
        <v>1</v>
      </c>
      <c r="U9">
        <v>1</v>
      </c>
      <c r="V9">
        <v>1</v>
      </c>
      <c r="W9">
        <v>1</v>
      </c>
      <c r="X9">
        <v>1</v>
      </c>
      <c r="Y9">
        <v>1</v>
      </c>
      <c r="Z9">
        <v>1</v>
      </c>
      <c r="AA9">
        <v>1</v>
      </c>
      <c r="AB9">
        <v>1</v>
      </c>
      <c r="AC9">
        <v>1</v>
      </c>
      <c r="AD9">
        <v>1</v>
      </c>
      <c r="AE9">
        <v>1</v>
      </c>
      <c r="AF9">
        <v>1</v>
      </c>
    </row>
    <row r="10" spans="1:32">
      <c r="B10" t="s">
        <v>120</v>
      </c>
      <c r="C10" t="s">
        <v>230</v>
      </c>
      <c r="D10">
        <v>1</v>
      </c>
      <c r="E10">
        <v>5</v>
      </c>
      <c r="F10">
        <v>5</v>
      </c>
      <c r="G10">
        <v>5</v>
      </c>
      <c r="H10">
        <v>5</v>
      </c>
      <c r="I10">
        <v>5</v>
      </c>
      <c r="J10">
        <v>5</v>
      </c>
      <c r="K10">
        <v>5</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row>
    <row r="11" spans="1:32">
      <c r="B11" t="s">
        <v>121</v>
      </c>
      <c r="C11" t="s">
        <v>230</v>
      </c>
      <c r="D11">
        <v>1</v>
      </c>
      <c r="E11">
        <v>5</v>
      </c>
      <c r="F11">
        <v>5</v>
      </c>
      <c r="G11">
        <v>5</v>
      </c>
      <c r="H11">
        <v>5</v>
      </c>
      <c r="I11">
        <v>5</v>
      </c>
      <c r="J11">
        <v>5</v>
      </c>
      <c r="K11">
        <v>5</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row>
    <row r="12" spans="1:32">
      <c r="B12" t="s">
        <v>122</v>
      </c>
      <c r="C12" t="s">
        <v>230</v>
      </c>
      <c r="D12">
        <v>1</v>
      </c>
      <c r="E12">
        <v>5</v>
      </c>
      <c r="F12">
        <v>5</v>
      </c>
      <c r="G12">
        <v>5</v>
      </c>
      <c r="H12">
        <v>5</v>
      </c>
      <c r="I12">
        <v>5</v>
      </c>
      <c r="J12">
        <v>5</v>
      </c>
      <c r="K12">
        <v>5</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row>
    <row r="13" spans="1:32">
      <c r="B13" t="s">
        <v>123</v>
      </c>
      <c r="C13" t="s">
        <v>230</v>
      </c>
      <c r="D13">
        <v>1</v>
      </c>
      <c r="E13">
        <v>5</v>
      </c>
      <c r="F13">
        <v>5</v>
      </c>
      <c r="G13">
        <v>5</v>
      </c>
      <c r="H13">
        <v>5</v>
      </c>
      <c r="I13">
        <v>5</v>
      </c>
      <c r="J13">
        <v>5</v>
      </c>
      <c r="K13">
        <v>5</v>
      </c>
      <c r="L13">
        <v>1</v>
      </c>
      <c r="M13">
        <v>1</v>
      </c>
      <c r="N13">
        <v>1</v>
      </c>
      <c r="O13">
        <v>1</v>
      </c>
      <c r="P13">
        <v>1</v>
      </c>
      <c r="Q13">
        <v>1</v>
      </c>
      <c r="R13">
        <v>1</v>
      </c>
      <c r="S13">
        <v>1</v>
      </c>
      <c r="T13">
        <v>1</v>
      </c>
      <c r="U13">
        <v>1</v>
      </c>
      <c r="V13">
        <v>1</v>
      </c>
      <c r="W13">
        <v>1</v>
      </c>
      <c r="X13">
        <v>1</v>
      </c>
      <c r="Y13">
        <v>1</v>
      </c>
      <c r="Z13">
        <v>1</v>
      </c>
      <c r="AA13">
        <v>1</v>
      </c>
      <c r="AB13">
        <v>1</v>
      </c>
      <c r="AC13">
        <v>1</v>
      </c>
      <c r="AD13">
        <v>1</v>
      </c>
      <c r="AE13">
        <v>1</v>
      </c>
      <c r="AF13">
        <v>1</v>
      </c>
    </row>
    <row r="14" spans="1:32">
      <c r="B14" t="s">
        <v>124</v>
      </c>
      <c r="C14" t="s">
        <v>230</v>
      </c>
      <c r="D14">
        <v>1</v>
      </c>
      <c r="E14">
        <v>5</v>
      </c>
      <c r="F14">
        <v>5</v>
      </c>
      <c r="G14">
        <v>5</v>
      </c>
      <c r="H14">
        <v>5</v>
      </c>
      <c r="I14">
        <v>5</v>
      </c>
      <c r="J14">
        <v>5</v>
      </c>
      <c r="K14">
        <v>5</v>
      </c>
      <c r="L14">
        <v>1</v>
      </c>
      <c r="M14">
        <v>1</v>
      </c>
      <c r="N14">
        <v>1</v>
      </c>
      <c r="O14">
        <v>1</v>
      </c>
      <c r="P14">
        <v>1</v>
      </c>
      <c r="Q14">
        <v>1</v>
      </c>
      <c r="R14">
        <v>1</v>
      </c>
      <c r="S14">
        <v>1</v>
      </c>
      <c r="T14">
        <v>1</v>
      </c>
      <c r="U14">
        <v>5</v>
      </c>
      <c r="V14">
        <v>1</v>
      </c>
      <c r="W14">
        <v>1</v>
      </c>
      <c r="X14">
        <v>1</v>
      </c>
      <c r="Y14">
        <v>1</v>
      </c>
      <c r="Z14">
        <v>1</v>
      </c>
      <c r="AA14">
        <v>1</v>
      </c>
      <c r="AB14">
        <v>1</v>
      </c>
      <c r="AC14">
        <v>1</v>
      </c>
      <c r="AD14">
        <v>1</v>
      </c>
      <c r="AE14">
        <v>1</v>
      </c>
      <c r="AF14">
        <v>1</v>
      </c>
    </row>
    <row r="15" spans="1:32">
      <c r="B15" t="s">
        <v>125</v>
      </c>
      <c r="C15" t="s">
        <v>230</v>
      </c>
      <c r="D15">
        <v>1</v>
      </c>
      <c r="E15">
        <v>5</v>
      </c>
      <c r="F15">
        <v>5</v>
      </c>
      <c r="G15">
        <v>5</v>
      </c>
      <c r="H15">
        <v>5</v>
      </c>
      <c r="I15">
        <v>5</v>
      </c>
      <c r="J15">
        <v>5</v>
      </c>
      <c r="K15">
        <v>5</v>
      </c>
      <c r="L15">
        <v>1</v>
      </c>
      <c r="M15">
        <v>1</v>
      </c>
      <c r="N15">
        <v>1</v>
      </c>
      <c r="O15">
        <v>1</v>
      </c>
      <c r="P15">
        <v>1</v>
      </c>
      <c r="Q15">
        <v>1</v>
      </c>
      <c r="R15">
        <v>1</v>
      </c>
      <c r="S15">
        <v>1</v>
      </c>
      <c r="T15">
        <v>5</v>
      </c>
      <c r="U15">
        <v>1</v>
      </c>
      <c r="V15">
        <v>1</v>
      </c>
      <c r="W15">
        <v>1</v>
      </c>
      <c r="X15">
        <v>1</v>
      </c>
      <c r="Y15">
        <v>1</v>
      </c>
      <c r="Z15">
        <v>1</v>
      </c>
      <c r="AA15">
        <v>1</v>
      </c>
      <c r="AB15">
        <v>1</v>
      </c>
      <c r="AC15">
        <v>1</v>
      </c>
      <c r="AD15">
        <v>1</v>
      </c>
      <c r="AE15">
        <v>1</v>
      </c>
      <c r="AF15">
        <v>1</v>
      </c>
    </row>
    <row r="16" spans="1:32">
      <c r="B16" t="s">
        <v>126</v>
      </c>
      <c r="C16" t="s">
        <v>230</v>
      </c>
      <c r="D16">
        <v>1</v>
      </c>
      <c r="E16">
        <v>5</v>
      </c>
      <c r="F16">
        <v>5</v>
      </c>
      <c r="G16">
        <v>5</v>
      </c>
      <c r="H16">
        <v>5</v>
      </c>
      <c r="I16">
        <v>5</v>
      </c>
      <c r="J16">
        <v>5</v>
      </c>
      <c r="K16">
        <v>5</v>
      </c>
      <c r="L16">
        <v>1</v>
      </c>
      <c r="M16">
        <v>1</v>
      </c>
      <c r="N16">
        <v>1</v>
      </c>
      <c r="O16">
        <v>1</v>
      </c>
      <c r="P16">
        <v>1</v>
      </c>
      <c r="Q16">
        <v>1</v>
      </c>
      <c r="R16">
        <v>1</v>
      </c>
      <c r="S16">
        <v>1</v>
      </c>
      <c r="T16">
        <v>1</v>
      </c>
      <c r="U16">
        <v>1</v>
      </c>
      <c r="V16">
        <v>1</v>
      </c>
      <c r="W16">
        <v>1</v>
      </c>
      <c r="X16">
        <v>1</v>
      </c>
      <c r="Y16">
        <v>1</v>
      </c>
      <c r="Z16">
        <v>1</v>
      </c>
      <c r="AA16">
        <v>1</v>
      </c>
      <c r="AB16">
        <v>1</v>
      </c>
      <c r="AC16">
        <v>1</v>
      </c>
      <c r="AD16">
        <v>1</v>
      </c>
      <c r="AE16">
        <v>1</v>
      </c>
      <c r="AF16">
        <v>1</v>
      </c>
    </row>
    <row r="17" spans="2:32">
      <c r="B17" t="s">
        <v>127</v>
      </c>
      <c r="C17" t="s">
        <v>230</v>
      </c>
      <c r="D17">
        <v>1</v>
      </c>
      <c r="E17">
        <v>5</v>
      </c>
      <c r="F17">
        <v>5</v>
      </c>
      <c r="G17">
        <v>5</v>
      </c>
      <c r="H17">
        <v>5</v>
      </c>
      <c r="I17">
        <v>5</v>
      </c>
      <c r="J17">
        <v>5</v>
      </c>
      <c r="K17">
        <v>5</v>
      </c>
      <c r="L17">
        <v>1</v>
      </c>
      <c r="M17">
        <v>1</v>
      </c>
      <c r="N17">
        <v>1</v>
      </c>
      <c r="O17">
        <v>1</v>
      </c>
      <c r="P17">
        <v>1</v>
      </c>
      <c r="Q17">
        <v>1</v>
      </c>
      <c r="R17">
        <v>1</v>
      </c>
      <c r="S17">
        <v>1</v>
      </c>
      <c r="T17">
        <v>1</v>
      </c>
      <c r="U17">
        <v>1</v>
      </c>
      <c r="V17">
        <v>1</v>
      </c>
      <c r="W17">
        <v>1</v>
      </c>
      <c r="X17">
        <v>1</v>
      </c>
      <c r="Y17">
        <v>1</v>
      </c>
      <c r="Z17">
        <v>1</v>
      </c>
      <c r="AA17">
        <v>1</v>
      </c>
      <c r="AB17">
        <v>1</v>
      </c>
      <c r="AC17">
        <v>1</v>
      </c>
      <c r="AD17">
        <v>1</v>
      </c>
      <c r="AE17">
        <v>1</v>
      </c>
      <c r="AF17">
        <v>1</v>
      </c>
    </row>
    <row r="18" spans="2:32">
      <c r="B18" t="s">
        <v>128</v>
      </c>
      <c r="C18" t="s">
        <v>230</v>
      </c>
      <c r="D18">
        <v>1</v>
      </c>
      <c r="E18">
        <v>5</v>
      </c>
      <c r="F18">
        <v>5</v>
      </c>
      <c r="G18">
        <v>5</v>
      </c>
      <c r="H18">
        <v>5</v>
      </c>
      <c r="I18">
        <v>5</v>
      </c>
      <c r="J18">
        <v>5</v>
      </c>
      <c r="K18">
        <v>5</v>
      </c>
      <c r="L18">
        <v>1</v>
      </c>
      <c r="M18">
        <v>1</v>
      </c>
      <c r="N18">
        <v>1</v>
      </c>
      <c r="O18">
        <v>1</v>
      </c>
      <c r="P18">
        <v>1</v>
      </c>
      <c r="Q18">
        <v>1</v>
      </c>
      <c r="R18">
        <v>1</v>
      </c>
      <c r="S18">
        <v>1</v>
      </c>
      <c r="T18">
        <v>1</v>
      </c>
      <c r="U18">
        <v>1</v>
      </c>
      <c r="V18">
        <v>1</v>
      </c>
      <c r="W18">
        <v>1</v>
      </c>
      <c r="X18">
        <v>1</v>
      </c>
      <c r="Y18">
        <v>1</v>
      </c>
      <c r="Z18">
        <v>1</v>
      </c>
      <c r="AA18">
        <v>1</v>
      </c>
      <c r="AB18">
        <v>1</v>
      </c>
      <c r="AC18">
        <v>1</v>
      </c>
      <c r="AD18">
        <v>1</v>
      </c>
      <c r="AE18">
        <v>1</v>
      </c>
      <c r="AF18">
        <v>1</v>
      </c>
    </row>
    <row r="19" spans="2:32">
      <c r="B19" t="s">
        <v>129</v>
      </c>
      <c r="C19" t="s">
        <v>230</v>
      </c>
      <c r="D19">
        <v>1</v>
      </c>
      <c r="E19">
        <v>5</v>
      </c>
      <c r="F19">
        <v>5</v>
      </c>
      <c r="G19">
        <v>5</v>
      </c>
      <c r="H19">
        <v>5</v>
      </c>
      <c r="I19">
        <v>5</v>
      </c>
      <c r="J19">
        <v>5</v>
      </c>
      <c r="K19">
        <v>5</v>
      </c>
      <c r="L19">
        <v>1</v>
      </c>
      <c r="M19">
        <v>1</v>
      </c>
      <c r="N19">
        <v>1</v>
      </c>
      <c r="O19">
        <v>1</v>
      </c>
      <c r="P19">
        <v>1</v>
      </c>
      <c r="Q19">
        <v>1</v>
      </c>
      <c r="R19">
        <v>1</v>
      </c>
      <c r="S19">
        <v>1</v>
      </c>
      <c r="T19">
        <v>1</v>
      </c>
      <c r="U19">
        <v>1</v>
      </c>
      <c r="V19">
        <v>1</v>
      </c>
      <c r="W19">
        <v>1</v>
      </c>
      <c r="X19">
        <v>1</v>
      </c>
      <c r="Y19">
        <v>1</v>
      </c>
      <c r="Z19">
        <v>1</v>
      </c>
      <c r="AA19">
        <v>1</v>
      </c>
      <c r="AB19">
        <v>1</v>
      </c>
      <c r="AC19">
        <v>1</v>
      </c>
      <c r="AD19">
        <v>1</v>
      </c>
      <c r="AE19">
        <v>1</v>
      </c>
      <c r="AF19">
        <v>1</v>
      </c>
    </row>
    <row r="20" spans="2:32">
      <c r="B20" t="s">
        <v>130</v>
      </c>
      <c r="C20" t="s">
        <v>246</v>
      </c>
      <c r="D20">
        <v>0</v>
      </c>
      <c r="E20">
        <v>5</v>
      </c>
      <c r="F20">
        <v>5</v>
      </c>
      <c r="G20">
        <v>5</v>
      </c>
      <c r="H20">
        <v>5</v>
      </c>
      <c r="I20">
        <v>5</v>
      </c>
      <c r="J20">
        <v>5</v>
      </c>
      <c r="K20">
        <v>5</v>
      </c>
      <c r="L20">
        <v>1</v>
      </c>
      <c r="M20">
        <v>1</v>
      </c>
      <c r="N20">
        <v>1</v>
      </c>
      <c r="O20">
        <v>1</v>
      </c>
      <c r="P20">
        <v>1</v>
      </c>
      <c r="Q20">
        <v>1</v>
      </c>
      <c r="R20">
        <v>1</v>
      </c>
      <c r="S20">
        <v>1</v>
      </c>
      <c r="T20">
        <v>1</v>
      </c>
      <c r="U20">
        <v>1</v>
      </c>
      <c r="V20">
        <v>1</v>
      </c>
      <c r="W20">
        <v>1</v>
      </c>
      <c r="X20">
        <v>1</v>
      </c>
      <c r="Y20">
        <v>5</v>
      </c>
      <c r="Z20">
        <v>1</v>
      </c>
      <c r="AA20">
        <v>1</v>
      </c>
      <c r="AB20">
        <v>1</v>
      </c>
      <c r="AC20">
        <v>1</v>
      </c>
      <c r="AD20">
        <v>1</v>
      </c>
      <c r="AE20">
        <v>1</v>
      </c>
      <c r="AF20">
        <v>1</v>
      </c>
    </row>
    <row r="21" spans="2:32">
      <c r="B21" t="s">
        <v>131</v>
      </c>
      <c r="C21" t="s">
        <v>246</v>
      </c>
      <c r="D21">
        <v>0</v>
      </c>
      <c r="E21">
        <v>10</v>
      </c>
      <c r="F21">
        <v>5</v>
      </c>
      <c r="G21">
        <v>1</v>
      </c>
      <c r="H21">
        <v>10</v>
      </c>
      <c r="I21">
        <v>5</v>
      </c>
      <c r="J21">
        <v>5</v>
      </c>
      <c r="K21">
        <v>5</v>
      </c>
      <c r="L21">
        <v>1</v>
      </c>
      <c r="M21">
        <v>1</v>
      </c>
      <c r="N21">
        <v>1</v>
      </c>
      <c r="O21">
        <v>5</v>
      </c>
      <c r="P21">
        <v>1</v>
      </c>
      <c r="Q21">
        <v>1</v>
      </c>
      <c r="R21">
        <v>1</v>
      </c>
      <c r="S21">
        <v>1</v>
      </c>
      <c r="T21">
        <v>1</v>
      </c>
      <c r="U21">
        <v>1</v>
      </c>
      <c r="V21">
        <v>1</v>
      </c>
      <c r="W21">
        <v>1</v>
      </c>
      <c r="X21">
        <v>1</v>
      </c>
      <c r="Y21">
        <v>1</v>
      </c>
      <c r="Z21">
        <v>1</v>
      </c>
      <c r="AA21">
        <v>1</v>
      </c>
      <c r="AB21">
        <v>1</v>
      </c>
      <c r="AC21">
        <v>1</v>
      </c>
      <c r="AD21">
        <v>1</v>
      </c>
      <c r="AE21">
        <v>5</v>
      </c>
      <c r="AF21">
        <v>10</v>
      </c>
    </row>
    <row r="22" spans="2:32">
      <c r="B22" t="s">
        <v>132</v>
      </c>
      <c r="C22" t="s">
        <v>246</v>
      </c>
      <c r="D22">
        <v>0</v>
      </c>
      <c r="E22">
        <v>5</v>
      </c>
      <c r="F22">
        <v>5</v>
      </c>
      <c r="G22">
        <v>5</v>
      </c>
      <c r="H22">
        <v>5</v>
      </c>
      <c r="I22">
        <v>5</v>
      </c>
      <c r="J22">
        <v>5</v>
      </c>
      <c r="K22">
        <v>5</v>
      </c>
      <c r="L22">
        <v>5</v>
      </c>
      <c r="M22">
        <v>1</v>
      </c>
      <c r="N22">
        <v>1</v>
      </c>
      <c r="O22">
        <v>1</v>
      </c>
      <c r="P22">
        <v>1</v>
      </c>
      <c r="Q22">
        <v>1</v>
      </c>
      <c r="R22">
        <v>1</v>
      </c>
      <c r="S22">
        <v>1</v>
      </c>
      <c r="T22">
        <v>1</v>
      </c>
      <c r="U22">
        <v>1</v>
      </c>
      <c r="V22">
        <v>1</v>
      </c>
      <c r="W22">
        <v>1</v>
      </c>
      <c r="X22">
        <v>1</v>
      </c>
      <c r="Y22">
        <v>1</v>
      </c>
      <c r="Z22">
        <v>1</v>
      </c>
      <c r="AA22">
        <v>1</v>
      </c>
      <c r="AB22">
        <v>1</v>
      </c>
      <c r="AC22">
        <v>1</v>
      </c>
      <c r="AD22">
        <v>1</v>
      </c>
      <c r="AE22">
        <v>1</v>
      </c>
      <c r="AF22">
        <v>1</v>
      </c>
    </row>
    <row r="23" spans="2:32">
      <c r="B23" t="s">
        <v>133</v>
      </c>
      <c r="C23" t="s">
        <v>246</v>
      </c>
      <c r="D23">
        <v>0</v>
      </c>
      <c r="E23">
        <v>5</v>
      </c>
      <c r="F23">
        <v>5</v>
      </c>
      <c r="G23">
        <v>5</v>
      </c>
      <c r="H23">
        <v>5</v>
      </c>
      <c r="I23">
        <v>5</v>
      </c>
      <c r="J23">
        <v>5</v>
      </c>
      <c r="K23">
        <v>5</v>
      </c>
      <c r="L23">
        <v>1</v>
      </c>
      <c r="M23">
        <v>1</v>
      </c>
      <c r="N23">
        <v>1</v>
      </c>
      <c r="O23">
        <v>1</v>
      </c>
      <c r="P23">
        <v>1</v>
      </c>
      <c r="Q23">
        <v>1</v>
      </c>
      <c r="R23">
        <v>1</v>
      </c>
      <c r="S23">
        <v>1</v>
      </c>
      <c r="T23">
        <v>1</v>
      </c>
      <c r="U23">
        <v>1</v>
      </c>
      <c r="V23">
        <v>1</v>
      </c>
      <c r="W23">
        <v>1</v>
      </c>
      <c r="X23">
        <v>1</v>
      </c>
      <c r="Y23">
        <v>1</v>
      </c>
      <c r="Z23">
        <v>1</v>
      </c>
      <c r="AA23">
        <v>1</v>
      </c>
      <c r="AB23">
        <v>1</v>
      </c>
      <c r="AC23">
        <v>1</v>
      </c>
      <c r="AD23">
        <v>1</v>
      </c>
      <c r="AE23">
        <v>1</v>
      </c>
      <c r="AF23">
        <v>1</v>
      </c>
    </row>
    <row r="24" spans="2:32">
      <c r="B24" t="s">
        <v>134</v>
      </c>
      <c r="C24" t="s">
        <v>246</v>
      </c>
      <c r="D24">
        <v>0</v>
      </c>
      <c r="E24">
        <v>5</v>
      </c>
      <c r="F24">
        <v>5</v>
      </c>
      <c r="G24">
        <v>5</v>
      </c>
      <c r="H24">
        <v>5</v>
      </c>
      <c r="I24">
        <v>5</v>
      </c>
      <c r="J24">
        <v>5</v>
      </c>
      <c r="K24">
        <v>5</v>
      </c>
      <c r="L24">
        <v>1</v>
      </c>
      <c r="M24">
        <v>1</v>
      </c>
      <c r="N24">
        <v>1</v>
      </c>
      <c r="O24">
        <v>5</v>
      </c>
      <c r="P24">
        <v>1</v>
      </c>
      <c r="Q24">
        <v>1</v>
      </c>
      <c r="R24">
        <v>1</v>
      </c>
      <c r="S24">
        <v>1</v>
      </c>
      <c r="T24">
        <v>1</v>
      </c>
      <c r="U24">
        <v>1</v>
      </c>
      <c r="V24">
        <v>1</v>
      </c>
      <c r="W24">
        <v>1</v>
      </c>
      <c r="X24">
        <v>1</v>
      </c>
      <c r="Y24">
        <v>5</v>
      </c>
      <c r="Z24">
        <v>1</v>
      </c>
      <c r="AA24">
        <v>1</v>
      </c>
      <c r="AB24">
        <v>1</v>
      </c>
      <c r="AC24">
        <v>1</v>
      </c>
      <c r="AD24">
        <v>1</v>
      </c>
      <c r="AE24">
        <v>1</v>
      </c>
      <c r="AF24">
        <v>1</v>
      </c>
    </row>
    <row r="25" spans="2:32">
      <c r="B25" t="s">
        <v>135</v>
      </c>
      <c r="C25" t="s">
        <v>246</v>
      </c>
      <c r="D25">
        <v>0</v>
      </c>
      <c r="E25">
        <v>5</v>
      </c>
      <c r="F25">
        <v>5</v>
      </c>
      <c r="G25">
        <v>5</v>
      </c>
      <c r="H25">
        <v>5</v>
      </c>
      <c r="I25">
        <v>5</v>
      </c>
      <c r="J25">
        <v>5</v>
      </c>
      <c r="K25">
        <v>5</v>
      </c>
      <c r="L25">
        <v>1</v>
      </c>
      <c r="M25">
        <v>1</v>
      </c>
      <c r="N25">
        <v>1</v>
      </c>
      <c r="O25">
        <v>1</v>
      </c>
      <c r="P25">
        <v>1</v>
      </c>
      <c r="Q25">
        <v>1</v>
      </c>
      <c r="R25">
        <v>1</v>
      </c>
      <c r="S25">
        <v>1</v>
      </c>
      <c r="T25">
        <v>1</v>
      </c>
      <c r="U25">
        <v>1</v>
      </c>
      <c r="V25">
        <v>1</v>
      </c>
      <c r="W25">
        <v>1</v>
      </c>
      <c r="X25">
        <v>1</v>
      </c>
      <c r="Y25">
        <v>1</v>
      </c>
      <c r="Z25">
        <v>1</v>
      </c>
      <c r="AA25">
        <v>1</v>
      </c>
      <c r="AB25">
        <v>1</v>
      </c>
      <c r="AC25">
        <v>1</v>
      </c>
      <c r="AD25">
        <v>1</v>
      </c>
      <c r="AE25">
        <v>1</v>
      </c>
      <c r="AF25">
        <v>1</v>
      </c>
    </row>
    <row r="26" spans="2:32">
      <c r="B26" t="s">
        <v>136</v>
      </c>
      <c r="C26" t="s">
        <v>246</v>
      </c>
      <c r="D26">
        <v>0</v>
      </c>
      <c r="E26">
        <v>5</v>
      </c>
      <c r="F26">
        <v>5</v>
      </c>
      <c r="G26">
        <v>5</v>
      </c>
      <c r="H26">
        <v>5</v>
      </c>
      <c r="I26">
        <v>5</v>
      </c>
      <c r="J26">
        <v>5</v>
      </c>
      <c r="K26">
        <v>5</v>
      </c>
      <c r="L26">
        <v>1</v>
      </c>
      <c r="M26">
        <v>1</v>
      </c>
      <c r="N26">
        <v>1</v>
      </c>
      <c r="O26">
        <v>1</v>
      </c>
      <c r="P26">
        <v>1</v>
      </c>
      <c r="Q26">
        <v>1</v>
      </c>
      <c r="R26">
        <v>1</v>
      </c>
      <c r="S26">
        <v>1</v>
      </c>
      <c r="T26">
        <v>1</v>
      </c>
      <c r="U26">
        <v>1</v>
      </c>
      <c r="V26">
        <v>1</v>
      </c>
      <c r="W26">
        <v>1</v>
      </c>
      <c r="X26">
        <v>1</v>
      </c>
      <c r="Y26">
        <v>1</v>
      </c>
      <c r="Z26">
        <v>1</v>
      </c>
      <c r="AA26">
        <v>1</v>
      </c>
      <c r="AB26">
        <v>1</v>
      </c>
      <c r="AC26">
        <v>1</v>
      </c>
      <c r="AD26">
        <v>1</v>
      </c>
      <c r="AE26">
        <v>1</v>
      </c>
      <c r="AF26">
        <v>1</v>
      </c>
    </row>
    <row r="27" spans="2:32">
      <c r="B27" t="s">
        <v>137</v>
      </c>
      <c r="C27" t="s">
        <v>246</v>
      </c>
      <c r="D27">
        <v>0</v>
      </c>
      <c r="E27">
        <v>5</v>
      </c>
      <c r="F27">
        <v>5</v>
      </c>
      <c r="G27">
        <v>5</v>
      </c>
      <c r="H27">
        <v>5</v>
      </c>
      <c r="I27">
        <v>5</v>
      </c>
      <c r="J27">
        <v>5</v>
      </c>
      <c r="K27">
        <v>5</v>
      </c>
      <c r="L27">
        <v>1</v>
      </c>
      <c r="M27">
        <v>1</v>
      </c>
      <c r="N27">
        <v>1</v>
      </c>
      <c r="O27">
        <v>1</v>
      </c>
      <c r="P27">
        <v>1</v>
      </c>
      <c r="Q27">
        <v>1</v>
      </c>
      <c r="R27">
        <v>1</v>
      </c>
      <c r="S27">
        <v>1</v>
      </c>
      <c r="T27">
        <v>1</v>
      </c>
      <c r="U27">
        <v>1</v>
      </c>
      <c r="V27">
        <v>1</v>
      </c>
      <c r="W27">
        <v>1</v>
      </c>
      <c r="X27">
        <v>1</v>
      </c>
      <c r="Y27">
        <v>1</v>
      </c>
      <c r="Z27">
        <v>1</v>
      </c>
      <c r="AA27">
        <v>1</v>
      </c>
      <c r="AB27">
        <v>1</v>
      </c>
      <c r="AC27">
        <v>1</v>
      </c>
      <c r="AD27">
        <v>1</v>
      </c>
      <c r="AE27">
        <v>1</v>
      </c>
      <c r="AF27">
        <v>1</v>
      </c>
    </row>
    <row r="28" spans="2:32">
      <c r="B28" t="s">
        <v>138</v>
      </c>
      <c r="C28" t="s">
        <v>246</v>
      </c>
      <c r="D28">
        <v>0</v>
      </c>
      <c r="E28">
        <v>5</v>
      </c>
      <c r="F28">
        <v>5</v>
      </c>
      <c r="G28">
        <v>5</v>
      </c>
      <c r="H28">
        <v>5</v>
      </c>
      <c r="I28">
        <v>5</v>
      </c>
      <c r="J28">
        <v>5</v>
      </c>
      <c r="K28">
        <v>5</v>
      </c>
      <c r="L28">
        <v>1</v>
      </c>
      <c r="M28">
        <v>1</v>
      </c>
      <c r="N28">
        <v>1</v>
      </c>
      <c r="O28">
        <v>1</v>
      </c>
      <c r="P28">
        <v>1</v>
      </c>
      <c r="Q28">
        <v>1</v>
      </c>
      <c r="R28">
        <v>1</v>
      </c>
      <c r="S28">
        <v>1</v>
      </c>
      <c r="T28">
        <v>1</v>
      </c>
      <c r="U28">
        <v>1</v>
      </c>
      <c r="V28">
        <v>1</v>
      </c>
      <c r="W28">
        <v>1</v>
      </c>
      <c r="X28">
        <v>1</v>
      </c>
      <c r="Y28">
        <v>1</v>
      </c>
      <c r="Z28">
        <v>1</v>
      </c>
      <c r="AA28">
        <v>1</v>
      </c>
      <c r="AB28">
        <v>1</v>
      </c>
      <c r="AC28">
        <v>1</v>
      </c>
      <c r="AD28">
        <v>1</v>
      </c>
      <c r="AE28">
        <v>1</v>
      </c>
      <c r="AF28">
        <v>1</v>
      </c>
    </row>
    <row r="29" spans="2:32">
      <c r="B29" t="s">
        <v>139</v>
      </c>
      <c r="C29" t="s">
        <v>246</v>
      </c>
      <c r="D29">
        <v>0</v>
      </c>
      <c r="E29">
        <v>5</v>
      </c>
      <c r="F29">
        <v>5</v>
      </c>
      <c r="G29">
        <v>5</v>
      </c>
      <c r="H29">
        <v>5</v>
      </c>
      <c r="I29">
        <v>5</v>
      </c>
      <c r="J29">
        <v>5</v>
      </c>
      <c r="K29">
        <v>5</v>
      </c>
      <c r="L29">
        <v>1</v>
      </c>
      <c r="M29">
        <v>1</v>
      </c>
      <c r="N29">
        <v>1</v>
      </c>
      <c r="O29">
        <v>1</v>
      </c>
      <c r="P29">
        <v>1</v>
      </c>
      <c r="Q29">
        <v>1</v>
      </c>
      <c r="R29">
        <v>1</v>
      </c>
      <c r="S29">
        <v>1</v>
      </c>
      <c r="T29">
        <v>1</v>
      </c>
      <c r="U29">
        <v>1</v>
      </c>
      <c r="V29">
        <v>1</v>
      </c>
      <c r="W29">
        <v>1</v>
      </c>
      <c r="X29">
        <v>1</v>
      </c>
      <c r="Y29">
        <v>1</v>
      </c>
      <c r="Z29">
        <v>1</v>
      </c>
      <c r="AA29">
        <v>1</v>
      </c>
      <c r="AB29">
        <v>1</v>
      </c>
      <c r="AC29">
        <v>1</v>
      </c>
      <c r="AD29">
        <v>1</v>
      </c>
      <c r="AE29">
        <v>1</v>
      </c>
      <c r="AF29">
        <v>1</v>
      </c>
    </row>
    <row r="30" spans="2:32">
      <c r="B30" t="s">
        <v>140</v>
      </c>
      <c r="C30" t="s">
        <v>246</v>
      </c>
      <c r="D30">
        <v>0</v>
      </c>
      <c r="E30">
        <v>5</v>
      </c>
      <c r="F30">
        <v>5</v>
      </c>
      <c r="G30">
        <v>5</v>
      </c>
      <c r="H30">
        <v>5</v>
      </c>
      <c r="I30">
        <v>5</v>
      </c>
      <c r="J30">
        <v>5</v>
      </c>
      <c r="K30">
        <v>5</v>
      </c>
      <c r="L30">
        <v>1</v>
      </c>
      <c r="M30">
        <v>1</v>
      </c>
      <c r="N30">
        <v>1</v>
      </c>
      <c r="O30">
        <v>1</v>
      </c>
      <c r="P30">
        <v>1</v>
      </c>
      <c r="Q30">
        <v>1</v>
      </c>
      <c r="R30">
        <v>1</v>
      </c>
      <c r="S30">
        <v>1</v>
      </c>
      <c r="T30">
        <v>1</v>
      </c>
      <c r="U30">
        <v>1</v>
      </c>
      <c r="V30">
        <v>1</v>
      </c>
      <c r="W30">
        <v>1</v>
      </c>
      <c r="X30">
        <v>1</v>
      </c>
      <c r="Y30">
        <v>1</v>
      </c>
      <c r="Z30">
        <v>1</v>
      </c>
      <c r="AA30">
        <v>1</v>
      </c>
      <c r="AB30">
        <v>1</v>
      </c>
      <c r="AC30">
        <v>1</v>
      </c>
      <c r="AD30">
        <v>1</v>
      </c>
      <c r="AE30">
        <v>1</v>
      </c>
      <c r="AF30">
        <v>1</v>
      </c>
    </row>
    <row r="36" spans="1:4">
      <c r="A36" s="1"/>
      <c r="B36" s="1"/>
      <c r="C36" s="1"/>
      <c r="D36" s="1"/>
    </row>
  </sheetData>
  <pageMargins left="0.75" right="0.75" top="1" bottom="1" header="0.5" footer="0.5"/>
  <pageSetup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246"/>
  <sheetViews>
    <sheetView workbookViewId="0">
      <selection activeCell="D21" sqref="D21"/>
    </sheetView>
  </sheetViews>
  <sheetFormatPr defaultColWidth="11" defaultRowHeight="15.75"/>
  <cols>
    <col min="1" max="1" width="31" bestFit="1" customWidth="1"/>
    <col min="2" max="2" width="20.375" customWidth="1"/>
    <col min="3" max="3" width="22.5" customWidth="1"/>
    <col min="4" max="4" width="14.5" customWidth="1"/>
    <col min="5" max="5" width="12.125" bestFit="1" customWidth="1"/>
    <col min="6" max="6" width="14.625" bestFit="1" customWidth="1"/>
  </cols>
  <sheetData>
    <row r="2" spans="1:5" ht="27" customHeight="1">
      <c r="A2" s="15" t="s">
        <v>8</v>
      </c>
      <c r="B2" s="15" t="s">
        <v>181</v>
      </c>
      <c r="C2" s="15" t="s">
        <v>182</v>
      </c>
      <c r="D2" s="15" t="s">
        <v>183</v>
      </c>
      <c r="E2" s="15" t="s">
        <v>184</v>
      </c>
    </row>
    <row r="3" spans="1:5">
      <c r="A3" s="16" t="s">
        <v>112</v>
      </c>
      <c r="B3" t="s">
        <v>176</v>
      </c>
      <c r="D3" t="s">
        <v>185</v>
      </c>
    </row>
    <row r="4" spans="1:5">
      <c r="A4" s="16" t="s">
        <v>113</v>
      </c>
      <c r="B4" t="s">
        <v>176</v>
      </c>
      <c r="D4" t="s">
        <v>185</v>
      </c>
    </row>
    <row r="5" spans="1:5">
      <c r="A5" s="16" t="s">
        <v>114</v>
      </c>
      <c r="B5" t="s">
        <v>176</v>
      </c>
      <c r="D5" t="s">
        <v>185</v>
      </c>
    </row>
    <row r="6" spans="1:5">
      <c r="A6" s="16" t="s">
        <v>115</v>
      </c>
      <c r="D6" t="s">
        <v>185</v>
      </c>
    </row>
    <row r="7" spans="1:5">
      <c r="A7" s="16" t="s">
        <v>116</v>
      </c>
      <c r="D7" t="s">
        <v>185</v>
      </c>
    </row>
    <row r="8" spans="1:5">
      <c r="A8" s="16" t="s">
        <v>117</v>
      </c>
      <c r="D8" t="s">
        <v>185</v>
      </c>
    </row>
    <row r="9" spans="1:5">
      <c r="A9" s="16" t="s">
        <v>118</v>
      </c>
      <c r="D9" t="s">
        <v>185</v>
      </c>
    </row>
    <row r="10" spans="1:5">
      <c r="A10" s="16" t="s">
        <v>119</v>
      </c>
      <c r="D10" t="s">
        <v>185</v>
      </c>
    </row>
    <row r="11" spans="1:5">
      <c r="A11" s="16" t="s">
        <v>120</v>
      </c>
      <c r="D11" t="s">
        <v>185</v>
      </c>
    </row>
    <row r="12" spans="1:5">
      <c r="A12" s="16" t="s">
        <v>121</v>
      </c>
      <c r="D12" t="s">
        <v>185</v>
      </c>
    </row>
    <row r="13" spans="1:5">
      <c r="A13" s="16" t="s">
        <v>122</v>
      </c>
      <c r="D13" t="s">
        <v>185</v>
      </c>
    </row>
    <row r="14" spans="1:5">
      <c r="A14" s="16" t="s">
        <v>123</v>
      </c>
      <c r="D14" t="s">
        <v>185</v>
      </c>
    </row>
    <row r="15" spans="1:5">
      <c r="A15" s="16" t="s">
        <v>124</v>
      </c>
      <c r="D15" t="s">
        <v>185</v>
      </c>
    </row>
    <row r="16" spans="1:5">
      <c r="A16" s="16" t="s">
        <v>125</v>
      </c>
      <c r="D16" t="s">
        <v>185</v>
      </c>
    </row>
    <row r="17" spans="1:4">
      <c r="A17" s="16" t="s">
        <v>126</v>
      </c>
      <c r="D17" t="s">
        <v>185</v>
      </c>
    </row>
    <row r="18" spans="1:4">
      <c r="A18" s="16" t="s">
        <v>127</v>
      </c>
      <c r="D18" t="s">
        <v>185</v>
      </c>
    </row>
    <row r="19" spans="1:4">
      <c r="A19" s="16" t="s">
        <v>128</v>
      </c>
      <c r="D19" t="s">
        <v>185</v>
      </c>
    </row>
    <row r="20" spans="1:4">
      <c r="A20" s="16" t="s">
        <v>129</v>
      </c>
      <c r="D20" t="s">
        <v>185</v>
      </c>
    </row>
    <row r="21" spans="1:4">
      <c r="A21" s="16" t="s">
        <v>130</v>
      </c>
      <c r="D21" t="s">
        <v>186</v>
      </c>
    </row>
    <row r="22" spans="1:4">
      <c r="A22" s="16" t="s">
        <v>131</v>
      </c>
      <c r="D22" t="s">
        <v>186</v>
      </c>
    </row>
    <row r="23" spans="1:4">
      <c r="A23" s="16" t="s">
        <v>132</v>
      </c>
      <c r="D23" t="s">
        <v>186</v>
      </c>
    </row>
    <row r="24" spans="1:4">
      <c r="A24" s="16" t="s">
        <v>133</v>
      </c>
      <c r="D24" t="s">
        <v>186</v>
      </c>
    </row>
    <row r="25" spans="1:4">
      <c r="A25" s="16" t="s">
        <v>134</v>
      </c>
      <c r="D25" t="s">
        <v>186</v>
      </c>
    </row>
    <row r="26" spans="1:4">
      <c r="A26" s="16" t="s">
        <v>135</v>
      </c>
      <c r="D26" t="s">
        <v>186</v>
      </c>
    </row>
    <row r="27" spans="1:4">
      <c r="A27" s="16" t="s">
        <v>136</v>
      </c>
      <c r="D27" t="s">
        <v>186</v>
      </c>
    </row>
    <row r="28" spans="1:4">
      <c r="A28" s="16" t="s">
        <v>137</v>
      </c>
      <c r="D28" t="s">
        <v>186</v>
      </c>
    </row>
    <row r="29" spans="1:4">
      <c r="A29" s="16" t="s">
        <v>138</v>
      </c>
      <c r="D29" t="s">
        <v>186</v>
      </c>
    </row>
    <row r="30" spans="1:4">
      <c r="A30" s="16" t="s">
        <v>139</v>
      </c>
      <c r="D30" t="s">
        <v>186</v>
      </c>
    </row>
    <row r="31" spans="1:4">
      <c r="A31" s="16" t="s">
        <v>140</v>
      </c>
      <c r="D31" t="s">
        <v>186</v>
      </c>
    </row>
    <row r="37" spans="1:2" ht="18.75">
      <c r="A37" s="15" t="s">
        <v>174</v>
      </c>
    </row>
    <row r="38" spans="1:2" ht="18.75">
      <c r="A38" s="15" t="s">
        <v>173</v>
      </c>
    </row>
    <row r="39" spans="1:2" ht="18.75">
      <c r="A39" s="15" t="s">
        <v>165</v>
      </c>
    </row>
    <row r="41" spans="1:2">
      <c r="A41" s="1" t="s">
        <v>112</v>
      </c>
    </row>
    <row r="42" spans="1:2">
      <c r="B42" t="s">
        <v>144</v>
      </c>
    </row>
    <row r="43" spans="1:2">
      <c r="B43" t="s">
        <v>176</v>
      </c>
    </row>
    <row r="44" spans="1:2">
      <c r="B44" t="s">
        <v>177</v>
      </c>
    </row>
    <row r="45" spans="1:2">
      <c r="B45" t="s">
        <v>179</v>
      </c>
    </row>
    <row r="46" spans="1:2">
      <c r="B46" t="s">
        <v>142</v>
      </c>
    </row>
    <row r="47" spans="1:2">
      <c r="B47" t="s">
        <v>175</v>
      </c>
    </row>
    <row r="48" spans="1:2">
      <c r="A48" s="1" t="s">
        <v>113</v>
      </c>
    </row>
    <row r="49" spans="1:2">
      <c r="A49" s="1"/>
      <c r="B49" t="s">
        <v>144</v>
      </c>
    </row>
    <row r="50" spans="1:2">
      <c r="A50" s="1"/>
      <c r="B50" t="s">
        <v>176</v>
      </c>
    </row>
    <row r="51" spans="1:2">
      <c r="A51" s="1"/>
      <c r="B51" t="s">
        <v>177</v>
      </c>
    </row>
    <row r="52" spans="1:2">
      <c r="A52" s="1"/>
      <c r="B52" t="s">
        <v>178</v>
      </c>
    </row>
    <row r="53" spans="1:2">
      <c r="A53" s="1"/>
      <c r="B53" t="s">
        <v>142</v>
      </c>
    </row>
    <row r="54" spans="1:2">
      <c r="A54" s="1"/>
      <c r="B54" t="s">
        <v>175</v>
      </c>
    </row>
    <row r="55" spans="1:2">
      <c r="A55" s="1" t="s">
        <v>114</v>
      </c>
      <c r="B55" s="2"/>
    </row>
    <row r="56" spans="1:2">
      <c r="A56" s="1"/>
      <c r="B56" t="s">
        <v>144</v>
      </c>
    </row>
    <row r="57" spans="1:2">
      <c r="A57" s="1"/>
      <c r="B57" t="s">
        <v>176</v>
      </c>
    </row>
    <row r="58" spans="1:2">
      <c r="A58" s="1"/>
      <c r="B58" t="s">
        <v>177</v>
      </c>
    </row>
    <row r="59" spans="1:2">
      <c r="A59" s="1"/>
      <c r="B59" t="s">
        <v>178</v>
      </c>
    </row>
    <row r="60" spans="1:2">
      <c r="A60" s="1"/>
      <c r="B60" t="s">
        <v>142</v>
      </c>
    </row>
    <row r="61" spans="1:2">
      <c r="A61" s="1"/>
      <c r="B61" t="s">
        <v>175</v>
      </c>
    </row>
    <row r="62" spans="1:2">
      <c r="A62" s="1" t="s">
        <v>115</v>
      </c>
    </row>
    <row r="63" spans="1:2">
      <c r="A63" s="1"/>
      <c r="B63" t="s">
        <v>145</v>
      </c>
    </row>
    <row r="64" spans="1:2">
      <c r="A64" s="1"/>
    </row>
    <row r="65" spans="1:2">
      <c r="A65" s="1"/>
    </row>
    <row r="66" spans="1:2">
      <c r="A66" s="1"/>
    </row>
    <row r="67" spans="1:2">
      <c r="A67" s="1"/>
      <c r="B67" t="s">
        <v>142</v>
      </c>
    </row>
    <row r="68" spans="1:2">
      <c r="A68" s="1"/>
    </row>
    <row r="69" spans="1:2">
      <c r="A69" s="1"/>
    </row>
    <row r="70" spans="1:2">
      <c r="A70" s="1"/>
    </row>
    <row r="71" spans="1:2">
      <c r="A71" s="1" t="s">
        <v>116</v>
      </c>
    </row>
    <row r="72" spans="1:2">
      <c r="A72" s="1"/>
      <c r="B72" t="s">
        <v>145</v>
      </c>
    </row>
    <row r="73" spans="1:2">
      <c r="A73" s="1"/>
    </row>
    <row r="74" spans="1:2">
      <c r="A74" s="1"/>
    </row>
    <row r="75" spans="1:2">
      <c r="A75" s="1"/>
    </row>
    <row r="76" spans="1:2">
      <c r="A76" s="1"/>
      <c r="B76" t="s">
        <v>142</v>
      </c>
    </row>
    <row r="77" spans="1:2">
      <c r="A77" s="1"/>
    </row>
    <row r="78" spans="1:2">
      <c r="A78" s="1" t="s">
        <v>117</v>
      </c>
    </row>
    <row r="79" spans="1:2">
      <c r="A79" s="1"/>
      <c r="B79" t="s">
        <v>141</v>
      </c>
    </row>
    <row r="80" spans="1:2">
      <c r="A80" s="1"/>
    </row>
    <row r="81" spans="1:2">
      <c r="A81" s="1"/>
    </row>
    <row r="82" spans="1:2">
      <c r="A82" s="1"/>
    </row>
    <row r="83" spans="1:2">
      <c r="A83" s="1"/>
      <c r="B83" t="s">
        <v>142</v>
      </c>
    </row>
    <row r="84" spans="1:2">
      <c r="A84" s="1"/>
    </row>
    <row r="85" spans="1:2">
      <c r="A85" s="1"/>
    </row>
    <row r="86" spans="1:2">
      <c r="A86" s="1" t="s">
        <v>118</v>
      </c>
    </row>
    <row r="87" spans="1:2">
      <c r="A87" s="1"/>
      <c r="B87" t="s">
        <v>141</v>
      </c>
    </row>
    <row r="88" spans="1:2">
      <c r="A88" s="1"/>
    </row>
    <row r="89" spans="1:2">
      <c r="A89" s="1"/>
    </row>
    <row r="90" spans="1:2">
      <c r="A90" s="1"/>
    </row>
    <row r="91" spans="1:2">
      <c r="A91" s="1"/>
      <c r="B91" t="s">
        <v>142</v>
      </c>
    </row>
    <row r="92" spans="1:2">
      <c r="A92" s="1"/>
    </row>
    <row r="93" spans="1:2">
      <c r="A93" s="1" t="s">
        <v>119</v>
      </c>
    </row>
    <row r="94" spans="1:2">
      <c r="A94" s="1"/>
      <c r="B94" t="s">
        <v>145</v>
      </c>
    </row>
    <row r="95" spans="1:2">
      <c r="A95" s="1"/>
    </row>
    <row r="96" spans="1:2">
      <c r="A96" s="1"/>
    </row>
    <row r="97" spans="1:2">
      <c r="A97" s="1"/>
    </row>
    <row r="98" spans="1:2">
      <c r="A98" s="1"/>
      <c r="B98" t="s">
        <v>142</v>
      </c>
    </row>
    <row r="99" spans="1:2">
      <c r="A99" s="1"/>
    </row>
    <row r="100" spans="1:2">
      <c r="A100" s="1" t="s">
        <v>120</v>
      </c>
    </row>
    <row r="101" spans="1:2">
      <c r="A101" s="1"/>
      <c r="B101" t="s">
        <v>145</v>
      </c>
    </row>
    <row r="102" spans="1:2">
      <c r="A102" s="1"/>
    </row>
    <row r="103" spans="1:2">
      <c r="A103" s="1"/>
    </row>
    <row r="104" spans="1:2">
      <c r="A104" s="1"/>
    </row>
    <row r="105" spans="1:2">
      <c r="A105" s="1"/>
      <c r="B105" t="s">
        <v>142</v>
      </c>
    </row>
    <row r="106" spans="1:2">
      <c r="A106" s="1"/>
    </row>
    <row r="107" spans="1:2">
      <c r="A107" s="1" t="s">
        <v>121</v>
      </c>
    </row>
    <row r="108" spans="1:2">
      <c r="A108" s="1"/>
      <c r="B108" t="s">
        <v>144</v>
      </c>
    </row>
    <row r="109" spans="1:2">
      <c r="A109" s="1"/>
    </row>
    <row r="110" spans="1:2">
      <c r="A110" s="1"/>
    </row>
    <row r="111" spans="1:2">
      <c r="A111" s="1"/>
    </row>
    <row r="112" spans="1:2">
      <c r="A112" s="1"/>
      <c r="B112" t="s">
        <v>142</v>
      </c>
    </row>
    <row r="113" spans="1:2">
      <c r="A113" s="1"/>
    </row>
    <row r="114" spans="1:2">
      <c r="A114" s="1" t="s">
        <v>122</v>
      </c>
    </row>
    <row r="115" spans="1:2">
      <c r="A115" s="1"/>
      <c r="B115" t="s">
        <v>145</v>
      </c>
    </row>
    <row r="116" spans="1:2">
      <c r="A116" s="1"/>
    </row>
    <row r="117" spans="1:2">
      <c r="A117" s="1"/>
    </row>
    <row r="118" spans="1:2">
      <c r="A118" s="1"/>
    </row>
    <row r="119" spans="1:2">
      <c r="A119" s="1"/>
      <c r="B119" t="s">
        <v>142</v>
      </c>
    </row>
    <row r="120" spans="1:2">
      <c r="A120" s="1"/>
    </row>
    <row r="121" spans="1:2">
      <c r="A121" s="1" t="s">
        <v>123</v>
      </c>
    </row>
    <row r="122" spans="1:2">
      <c r="A122" s="1"/>
      <c r="B122" t="s">
        <v>141</v>
      </c>
    </row>
    <row r="123" spans="1:2">
      <c r="A123" s="1"/>
    </row>
    <row r="124" spans="1:2">
      <c r="A124" s="1"/>
    </row>
    <row r="125" spans="1:2">
      <c r="A125" s="1"/>
    </row>
    <row r="126" spans="1:2">
      <c r="A126" s="1"/>
      <c r="B126" t="s">
        <v>142</v>
      </c>
    </row>
    <row r="127" spans="1:2">
      <c r="A127" s="1"/>
    </row>
    <row r="128" spans="1:2">
      <c r="A128" s="1" t="s">
        <v>124</v>
      </c>
    </row>
    <row r="129" spans="1:2">
      <c r="A129" s="1"/>
      <c r="B129" t="s">
        <v>141</v>
      </c>
    </row>
    <row r="130" spans="1:2">
      <c r="A130" s="1"/>
    </row>
    <row r="131" spans="1:2">
      <c r="A131" s="1"/>
    </row>
    <row r="132" spans="1:2">
      <c r="A132" s="1"/>
    </row>
    <row r="133" spans="1:2">
      <c r="A133" s="1"/>
      <c r="B133" t="s">
        <v>142</v>
      </c>
    </row>
    <row r="134" spans="1:2">
      <c r="A134" s="1"/>
    </row>
    <row r="135" spans="1:2">
      <c r="A135" s="1" t="s">
        <v>125</v>
      </c>
    </row>
    <row r="136" spans="1:2">
      <c r="A136" s="1"/>
      <c r="B136" t="s">
        <v>145</v>
      </c>
    </row>
    <row r="137" spans="1:2">
      <c r="A137" s="1"/>
    </row>
    <row r="138" spans="1:2">
      <c r="A138" s="1"/>
    </row>
    <row r="139" spans="1:2">
      <c r="A139" s="1"/>
    </row>
    <row r="140" spans="1:2">
      <c r="A140" s="1"/>
      <c r="B140" t="s">
        <v>142</v>
      </c>
    </row>
    <row r="141" spans="1:2">
      <c r="A141" s="1"/>
    </row>
    <row r="142" spans="1:2">
      <c r="A142" s="1" t="s">
        <v>126</v>
      </c>
    </row>
    <row r="143" spans="1:2">
      <c r="A143" s="1"/>
      <c r="B143" t="s">
        <v>141</v>
      </c>
    </row>
    <row r="144" spans="1:2">
      <c r="A144" s="1"/>
    </row>
    <row r="145" spans="1:2">
      <c r="A145" s="1"/>
    </row>
    <row r="146" spans="1:2">
      <c r="A146" s="1"/>
    </row>
    <row r="147" spans="1:2">
      <c r="A147" s="1"/>
      <c r="B147" t="s">
        <v>142</v>
      </c>
    </row>
    <row r="148" spans="1:2">
      <c r="A148" s="1"/>
    </row>
    <row r="149" spans="1:2">
      <c r="A149" s="1" t="s">
        <v>127</v>
      </c>
    </row>
    <row r="150" spans="1:2">
      <c r="A150" s="1"/>
      <c r="B150" t="s">
        <v>145</v>
      </c>
    </row>
    <row r="151" spans="1:2">
      <c r="A151" s="1"/>
    </row>
    <row r="152" spans="1:2">
      <c r="A152" s="1"/>
    </row>
    <row r="153" spans="1:2">
      <c r="A153" s="1"/>
    </row>
    <row r="154" spans="1:2">
      <c r="A154" s="1"/>
      <c r="B154" t="s">
        <v>142</v>
      </c>
    </row>
    <row r="155" spans="1:2">
      <c r="A155" s="1"/>
    </row>
    <row r="156" spans="1:2">
      <c r="A156" s="1" t="s">
        <v>128</v>
      </c>
    </row>
    <row r="157" spans="1:2">
      <c r="A157" s="1"/>
      <c r="B157" t="s">
        <v>141</v>
      </c>
    </row>
    <row r="158" spans="1:2">
      <c r="A158" s="1"/>
    </row>
    <row r="159" spans="1:2">
      <c r="A159" s="1"/>
    </row>
    <row r="160" spans="1:2">
      <c r="A160" s="1"/>
    </row>
    <row r="161" spans="1:2">
      <c r="A161" s="1"/>
      <c r="B161" t="s">
        <v>142</v>
      </c>
    </row>
    <row r="162" spans="1:2">
      <c r="A162" s="1"/>
    </row>
    <row r="163" spans="1:2">
      <c r="A163" s="1"/>
    </row>
    <row r="164" spans="1:2">
      <c r="A164" s="1" t="s">
        <v>129</v>
      </c>
    </row>
    <row r="165" spans="1:2">
      <c r="A165" s="1"/>
      <c r="B165" t="s">
        <v>144</v>
      </c>
    </row>
    <row r="166" spans="1:2">
      <c r="A166" s="1"/>
    </row>
    <row r="167" spans="1:2">
      <c r="A167" s="1"/>
    </row>
    <row r="168" spans="1:2">
      <c r="A168" s="1"/>
    </row>
    <row r="169" spans="1:2">
      <c r="A169" s="1"/>
      <c r="B169" t="s">
        <v>142</v>
      </c>
    </row>
    <row r="170" spans="1:2">
      <c r="A170" s="1"/>
    </row>
    <row r="171" spans="1:2">
      <c r="A171" s="1" t="s">
        <v>130</v>
      </c>
    </row>
    <row r="172" spans="1:2">
      <c r="A172" s="1"/>
      <c r="B172" t="s">
        <v>145</v>
      </c>
    </row>
    <row r="173" spans="1:2">
      <c r="A173" s="1"/>
    </row>
    <row r="174" spans="1:2">
      <c r="A174" s="1"/>
    </row>
    <row r="175" spans="1:2">
      <c r="A175" s="1"/>
    </row>
    <row r="176" spans="1:2">
      <c r="A176" s="1"/>
      <c r="B176" t="s">
        <v>143</v>
      </c>
    </row>
    <row r="177" spans="1:2">
      <c r="A177" s="1"/>
    </row>
    <row r="178" spans="1:2">
      <c r="A178" s="1" t="s">
        <v>131</v>
      </c>
    </row>
    <row r="179" spans="1:2">
      <c r="A179" s="1"/>
      <c r="B179" t="s">
        <v>145</v>
      </c>
    </row>
    <row r="180" spans="1:2">
      <c r="A180" s="1"/>
    </row>
    <row r="181" spans="1:2">
      <c r="A181" s="1"/>
    </row>
    <row r="182" spans="1:2">
      <c r="A182" s="1"/>
    </row>
    <row r="183" spans="1:2">
      <c r="A183" s="1"/>
      <c r="B183" t="s">
        <v>143</v>
      </c>
    </row>
    <row r="184" spans="1:2">
      <c r="A184" s="1"/>
    </row>
    <row r="185" spans="1:2">
      <c r="A185" s="1" t="s">
        <v>132</v>
      </c>
    </row>
    <row r="186" spans="1:2">
      <c r="A186" s="1"/>
      <c r="B186" t="s">
        <v>145</v>
      </c>
    </row>
    <row r="187" spans="1:2">
      <c r="A187" s="1"/>
    </row>
    <row r="188" spans="1:2">
      <c r="A188" s="1"/>
    </row>
    <row r="189" spans="1:2">
      <c r="A189" s="1"/>
    </row>
    <row r="190" spans="1:2">
      <c r="A190" s="1"/>
      <c r="B190" t="s">
        <v>143</v>
      </c>
    </row>
    <row r="191" spans="1:2">
      <c r="A191" s="1"/>
    </row>
    <row r="192" spans="1:2">
      <c r="A192" s="1" t="s">
        <v>133</v>
      </c>
    </row>
    <row r="193" spans="1:2">
      <c r="A193" s="1"/>
      <c r="B193" t="s">
        <v>145</v>
      </c>
    </row>
    <row r="194" spans="1:2">
      <c r="A194" s="1"/>
    </row>
    <row r="195" spans="1:2">
      <c r="A195" s="1"/>
    </row>
    <row r="196" spans="1:2">
      <c r="A196" s="1"/>
    </row>
    <row r="197" spans="1:2">
      <c r="A197" s="1"/>
      <c r="B197" t="s">
        <v>143</v>
      </c>
    </row>
    <row r="198" spans="1:2">
      <c r="A198" s="1"/>
    </row>
    <row r="199" spans="1:2">
      <c r="A199" s="1" t="s">
        <v>134</v>
      </c>
    </row>
    <row r="200" spans="1:2">
      <c r="A200" s="1"/>
      <c r="B200" t="s">
        <v>145</v>
      </c>
    </row>
    <row r="201" spans="1:2">
      <c r="A201" s="1"/>
    </row>
    <row r="202" spans="1:2">
      <c r="A202" s="1"/>
    </row>
    <row r="203" spans="1:2">
      <c r="A203" s="1"/>
    </row>
    <row r="204" spans="1:2">
      <c r="A204" s="1"/>
      <c r="B204" t="s">
        <v>143</v>
      </c>
    </row>
    <row r="205" spans="1:2">
      <c r="A205" s="1"/>
    </row>
    <row r="206" spans="1:2">
      <c r="A206" s="1" t="s">
        <v>135</v>
      </c>
    </row>
    <row r="207" spans="1:2">
      <c r="A207" s="1"/>
      <c r="B207" t="s">
        <v>145</v>
      </c>
    </row>
    <row r="208" spans="1:2">
      <c r="A208" s="1"/>
    </row>
    <row r="209" spans="1:2">
      <c r="A209" s="1"/>
    </row>
    <row r="210" spans="1:2">
      <c r="A210" s="1"/>
    </row>
    <row r="211" spans="1:2">
      <c r="A211" s="1"/>
      <c r="B211" t="s">
        <v>143</v>
      </c>
    </row>
    <row r="212" spans="1:2">
      <c r="A212" s="1"/>
    </row>
    <row r="213" spans="1:2">
      <c r="A213" s="1" t="s">
        <v>136</v>
      </c>
    </row>
    <row r="214" spans="1:2">
      <c r="A214" s="1"/>
      <c r="B214" t="s">
        <v>145</v>
      </c>
    </row>
    <row r="215" spans="1:2">
      <c r="A215" s="1"/>
    </row>
    <row r="216" spans="1:2">
      <c r="A216" s="1"/>
    </row>
    <row r="217" spans="1:2">
      <c r="A217" s="1"/>
    </row>
    <row r="218" spans="1:2">
      <c r="A218" s="1"/>
      <c r="B218" t="s">
        <v>143</v>
      </c>
    </row>
    <row r="219" spans="1:2">
      <c r="A219" s="1"/>
    </row>
    <row r="220" spans="1:2">
      <c r="A220" s="1" t="s">
        <v>137</v>
      </c>
    </row>
    <row r="221" spans="1:2">
      <c r="A221" s="1"/>
      <c r="B221" t="s">
        <v>145</v>
      </c>
    </row>
    <row r="222" spans="1:2">
      <c r="A222" s="1"/>
    </row>
    <row r="223" spans="1:2">
      <c r="A223" s="1"/>
    </row>
    <row r="224" spans="1:2">
      <c r="A224" s="1"/>
    </row>
    <row r="225" spans="1:2">
      <c r="A225" s="1"/>
      <c r="B225" t="s">
        <v>143</v>
      </c>
    </row>
    <row r="226" spans="1:2">
      <c r="A226" s="1"/>
    </row>
    <row r="227" spans="1:2">
      <c r="A227" s="1" t="s">
        <v>138</v>
      </c>
    </row>
    <row r="228" spans="1:2">
      <c r="A228" s="1"/>
      <c r="B228" t="s">
        <v>145</v>
      </c>
    </row>
    <row r="229" spans="1:2">
      <c r="A229" s="1"/>
    </row>
    <row r="230" spans="1:2">
      <c r="A230" s="1"/>
    </row>
    <row r="231" spans="1:2">
      <c r="A231" s="1"/>
    </row>
    <row r="232" spans="1:2">
      <c r="A232" s="1"/>
      <c r="B232" t="s">
        <v>143</v>
      </c>
    </row>
    <row r="233" spans="1:2">
      <c r="A233" s="1"/>
    </row>
    <row r="234" spans="1:2">
      <c r="A234" s="1" t="s">
        <v>139</v>
      </c>
    </row>
    <row r="235" spans="1:2">
      <c r="A235" s="1"/>
      <c r="B235" t="s">
        <v>145</v>
      </c>
    </row>
    <row r="236" spans="1:2">
      <c r="A236" s="1"/>
    </row>
    <row r="237" spans="1:2">
      <c r="A237" s="1"/>
    </row>
    <row r="238" spans="1:2">
      <c r="A238" s="1"/>
    </row>
    <row r="239" spans="1:2">
      <c r="A239" s="1"/>
      <c r="B239" t="s">
        <v>143</v>
      </c>
    </row>
    <row r="240" spans="1:2">
      <c r="A240" s="1"/>
    </row>
    <row r="241" spans="1:2">
      <c r="A241" s="1" t="s">
        <v>140</v>
      </c>
    </row>
    <row r="242" spans="1:2">
      <c r="B242" t="s">
        <v>145</v>
      </c>
    </row>
    <row r="246" spans="1:2">
      <c r="B246" t="s">
        <v>143</v>
      </c>
    </row>
  </sheetData>
  <pageMargins left="0.75" right="0.75" top="1" bottom="1" header="0.5" footer="0.5"/>
  <pageSetup orientation="portrait" horizontalDpi="4294967292" verticalDpi="429496729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79"/>
  <sheetViews>
    <sheetView workbookViewId="0">
      <selection activeCell="D34" sqref="D34"/>
    </sheetView>
  </sheetViews>
  <sheetFormatPr defaultRowHeight="15"/>
  <cols>
    <col min="1" max="1" width="8.875" style="44" customWidth="1"/>
    <col min="2" max="6" width="18" style="44" customWidth="1"/>
    <col min="7" max="7" width="17" style="44" customWidth="1"/>
    <col min="8" max="16384" width="9" style="44"/>
  </cols>
  <sheetData>
    <row r="1" spans="1:7" ht="15.75">
      <c r="A1" s="42" t="s">
        <v>206</v>
      </c>
      <c r="B1" s="172" t="s">
        <v>207</v>
      </c>
      <c r="C1" s="172"/>
      <c r="D1" s="172"/>
      <c r="E1" s="172"/>
      <c r="F1" s="172"/>
      <c r="G1" s="43">
        <v>42280</v>
      </c>
    </row>
    <row r="2" spans="1:7">
      <c r="A2" s="45"/>
      <c r="B2" s="45" t="s">
        <v>208</v>
      </c>
      <c r="C2" s="45" t="s">
        <v>209</v>
      </c>
      <c r="D2" s="45" t="s">
        <v>210</v>
      </c>
      <c r="E2" s="45" t="s">
        <v>211</v>
      </c>
      <c r="F2" s="46" t="s">
        <v>212</v>
      </c>
      <c r="G2" s="47" t="s">
        <v>213</v>
      </c>
    </row>
    <row r="3" spans="1:7">
      <c r="A3" s="48" t="s">
        <v>214</v>
      </c>
      <c r="B3" s="49"/>
      <c r="C3" s="50"/>
      <c r="D3" s="51"/>
      <c r="E3" s="52"/>
      <c r="F3" s="53"/>
      <c r="G3" s="54"/>
    </row>
    <row r="4" spans="1:7">
      <c r="A4" s="55"/>
      <c r="B4" s="51"/>
      <c r="C4" s="56"/>
      <c r="D4" s="57"/>
      <c r="E4" s="58"/>
      <c r="F4" s="53"/>
      <c r="G4" s="59"/>
    </row>
    <row r="5" spans="1:7">
      <c r="A5" s="60" t="s">
        <v>215</v>
      </c>
      <c r="B5" s="57"/>
      <c r="C5" s="53"/>
      <c r="D5" s="57"/>
      <c r="E5" s="61"/>
      <c r="F5" s="53"/>
      <c r="G5" s="62"/>
    </row>
    <row r="6" spans="1:7">
      <c r="A6" s="60" t="s">
        <v>216</v>
      </c>
      <c r="B6" s="57"/>
      <c r="C6" s="53"/>
      <c r="D6" s="57"/>
      <c r="E6" s="61"/>
      <c r="F6" s="53"/>
      <c r="G6" s="62"/>
    </row>
    <row r="7" spans="1:7">
      <c r="A7" s="60" t="s">
        <v>217</v>
      </c>
      <c r="B7" s="57"/>
      <c r="C7" s="63"/>
      <c r="D7" s="57"/>
      <c r="E7" s="61"/>
      <c r="F7" s="53"/>
      <c r="G7" s="62"/>
    </row>
    <row r="8" spans="1:7">
      <c r="A8" s="55"/>
      <c r="B8" s="57"/>
      <c r="C8" s="64"/>
      <c r="D8" s="51"/>
      <c r="E8" s="61"/>
      <c r="F8" s="53"/>
      <c r="G8" s="62"/>
    </row>
    <row r="9" spans="1:7">
      <c r="A9" s="48" t="s">
        <v>218</v>
      </c>
      <c r="B9" s="54"/>
      <c r="C9" s="65"/>
      <c r="D9" s="54"/>
      <c r="E9" s="52"/>
      <c r="F9" s="65"/>
      <c r="G9" s="54"/>
    </row>
    <row r="10" spans="1:7">
      <c r="A10" s="55"/>
      <c r="B10" s="66"/>
      <c r="C10" s="65"/>
      <c r="D10" s="66"/>
      <c r="E10" s="58"/>
      <c r="F10" s="65"/>
      <c r="G10" s="59"/>
    </row>
    <row r="11" spans="1:7">
      <c r="A11" s="55"/>
      <c r="B11" s="67"/>
      <c r="C11" s="65"/>
      <c r="D11" s="67"/>
      <c r="E11" s="68"/>
      <c r="F11" s="65"/>
      <c r="G11" s="69"/>
    </row>
    <row r="12" spans="1:7">
      <c r="A12" s="60" t="s">
        <v>219</v>
      </c>
      <c r="B12" s="67"/>
      <c r="C12" s="65"/>
      <c r="D12" s="67"/>
      <c r="E12" s="68"/>
      <c r="F12" s="65"/>
      <c r="G12" s="69"/>
    </row>
    <row r="13" spans="1:7">
      <c r="A13" s="60" t="s">
        <v>216</v>
      </c>
      <c r="B13" s="67"/>
      <c r="C13" s="65"/>
      <c r="D13" s="67"/>
      <c r="E13" s="68"/>
      <c r="F13" s="65"/>
      <c r="G13" s="69"/>
    </row>
    <row r="14" spans="1:7">
      <c r="A14" s="60" t="s">
        <v>220</v>
      </c>
      <c r="B14" s="70"/>
      <c r="C14" s="65"/>
      <c r="D14" s="67"/>
      <c r="E14" s="68"/>
      <c r="F14" s="65"/>
      <c r="G14" s="69"/>
    </row>
    <row r="15" spans="1:7">
      <c r="A15" s="55"/>
      <c r="B15" s="67"/>
      <c r="C15" s="65"/>
      <c r="D15" s="67"/>
      <c r="E15" s="68"/>
      <c r="F15" s="65"/>
      <c r="G15" s="69"/>
    </row>
    <row r="16" spans="1:7">
      <c r="A16" s="71"/>
      <c r="B16" s="72"/>
      <c r="C16" s="65"/>
      <c r="D16" s="72"/>
      <c r="E16" s="61"/>
      <c r="F16" s="65"/>
      <c r="G16" s="62"/>
    </row>
    <row r="17" spans="1:7">
      <c r="A17" s="73"/>
      <c r="B17" s="74"/>
      <c r="C17" s="65"/>
      <c r="D17" s="74"/>
      <c r="E17" s="75"/>
      <c r="F17" s="65"/>
      <c r="G17" s="76"/>
    </row>
    <row r="18" spans="1:7">
      <c r="A18" s="48" t="s">
        <v>221</v>
      </c>
      <c r="B18" s="77"/>
      <c r="C18" s="78"/>
      <c r="D18" s="79"/>
      <c r="E18" s="77"/>
      <c r="F18" s="78"/>
      <c r="G18" s="54"/>
    </row>
    <row r="19" spans="1:7">
      <c r="A19" s="55"/>
      <c r="B19" s="80"/>
      <c r="C19" s="81"/>
      <c r="D19" s="82"/>
      <c r="E19" s="80"/>
      <c r="F19" s="81"/>
      <c r="G19" s="59"/>
    </row>
    <row r="20" spans="1:7">
      <c r="A20" s="55"/>
      <c r="B20" s="83"/>
      <c r="C20" s="84"/>
      <c r="D20" s="85"/>
      <c r="E20" s="83"/>
      <c r="F20" s="84"/>
      <c r="G20" s="69"/>
    </row>
    <row r="21" spans="1:7">
      <c r="A21" s="60" t="s">
        <v>222</v>
      </c>
      <c r="B21" s="83"/>
      <c r="C21" s="86"/>
      <c r="D21" s="85"/>
      <c r="E21" s="83"/>
      <c r="F21" s="86"/>
      <c r="G21" s="69"/>
    </row>
    <row r="22" spans="1:7">
      <c r="A22" s="60" t="s">
        <v>216</v>
      </c>
      <c r="B22" s="87"/>
      <c r="C22" s="88"/>
      <c r="D22" s="89"/>
      <c r="E22" s="87"/>
      <c r="F22" s="88"/>
      <c r="G22" s="90"/>
    </row>
    <row r="23" spans="1:7">
      <c r="A23" s="60" t="s">
        <v>223</v>
      </c>
      <c r="B23" s="83"/>
      <c r="C23" s="86"/>
      <c r="D23" s="85"/>
      <c r="E23" s="83"/>
      <c r="F23" s="86"/>
      <c r="G23" s="69"/>
    </row>
    <row r="24" spans="1:7">
      <c r="A24" s="55"/>
      <c r="B24" s="83"/>
      <c r="C24" s="86"/>
      <c r="D24" s="85"/>
      <c r="E24" s="83"/>
      <c r="F24" s="86"/>
      <c r="G24" s="69"/>
    </row>
    <row r="25" spans="1:7">
      <c r="A25" s="71"/>
      <c r="B25" s="87"/>
      <c r="C25" s="88"/>
      <c r="D25" s="89"/>
      <c r="E25" s="87"/>
      <c r="F25" s="88"/>
      <c r="G25" s="90"/>
    </row>
    <row r="26" spans="1:7">
      <c r="A26" s="73"/>
      <c r="B26" s="91"/>
      <c r="C26" s="92"/>
      <c r="D26" s="93"/>
      <c r="E26" s="94"/>
      <c r="F26" s="92"/>
      <c r="G26" s="76"/>
    </row>
    <row r="27" spans="1:7">
      <c r="A27" s="48" t="s">
        <v>224</v>
      </c>
      <c r="B27" s="95"/>
      <c r="C27" s="96"/>
      <c r="D27" s="97"/>
      <c r="E27" s="95"/>
      <c r="F27" s="96"/>
      <c r="G27" s="98"/>
    </row>
    <row r="28" spans="1:7">
      <c r="A28" s="99"/>
      <c r="B28" s="100"/>
      <c r="C28" s="101"/>
      <c r="D28" s="82"/>
      <c r="E28" s="100"/>
      <c r="F28" s="101"/>
      <c r="G28" s="59"/>
    </row>
    <row r="29" spans="1:7">
      <c r="A29" s="99"/>
      <c r="B29" s="102"/>
      <c r="C29" s="103"/>
      <c r="D29" s="85"/>
      <c r="E29" s="102"/>
      <c r="F29" s="103"/>
      <c r="G29" s="69"/>
    </row>
    <row r="30" spans="1:7">
      <c r="A30" s="60" t="s">
        <v>225</v>
      </c>
      <c r="B30" s="102"/>
      <c r="C30" s="103"/>
      <c r="D30" s="85"/>
      <c r="E30" s="102"/>
      <c r="F30" s="103"/>
      <c r="G30" s="69"/>
    </row>
    <row r="31" spans="1:7">
      <c r="A31" s="60" t="s">
        <v>216</v>
      </c>
      <c r="B31" s="102"/>
      <c r="C31" s="104"/>
      <c r="D31" s="85"/>
      <c r="E31" s="102"/>
      <c r="F31" s="104"/>
      <c r="G31" s="69"/>
    </row>
    <row r="32" spans="1:7">
      <c r="A32" s="60" t="s">
        <v>226</v>
      </c>
      <c r="B32" s="105"/>
      <c r="C32" s="101"/>
      <c r="D32" s="89"/>
      <c r="E32" s="105"/>
      <c r="F32" s="101"/>
      <c r="G32" s="90"/>
    </row>
    <row r="33" spans="1:7">
      <c r="A33" s="60"/>
      <c r="B33" s="106"/>
      <c r="C33" s="103"/>
      <c r="D33" s="107"/>
      <c r="E33" s="106"/>
      <c r="F33" s="103"/>
      <c r="G33" s="62"/>
    </row>
    <row r="34" spans="1:7">
      <c r="A34" s="55"/>
      <c r="B34" s="102"/>
      <c r="C34" s="103"/>
      <c r="D34" s="85"/>
      <c r="E34" s="102"/>
      <c r="F34" s="103"/>
      <c r="G34" s="69"/>
    </row>
    <row r="35" spans="1:7">
      <c r="A35" s="73"/>
      <c r="B35" s="102"/>
      <c r="C35" s="96"/>
      <c r="D35" s="85"/>
      <c r="E35" s="102"/>
      <c r="F35" s="96"/>
      <c r="G35" s="69"/>
    </row>
    <row r="36" spans="1:7">
      <c r="A36" s="48" t="s">
        <v>227</v>
      </c>
      <c r="B36" s="108"/>
      <c r="C36" s="109"/>
      <c r="D36" s="109"/>
      <c r="E36" s="108"/>
      <c r="F36" s="110"/>
      <c r="G36" s="110"/>
    </row>
    <row r="37" spans="1:7">
      <c r="A37" s="55"/>
      <c r="B37" s="111"/>
      <c r="C37" s="112"/>
      <c r="D37" s="112"/>
      <c r="E37" s="111"/>
      <c r="F37" s="59"/>
      <c r="G37" s="59"/>
    </row>
    <row r="38" spans="1:7">
      <c r="A38" s="55"/>
      <c r="B38" s="113"/>
      <c r="C38" s="114"/>
      <c r="D38" s="114"/>
      <c r="E38" s="113"/>
      <c r="F38" s="69"/>
      <c r="G38" s="69"/>
    </row>
    <row r="39" spans="1:7">
      <c r="A39" s="60" t="s">
        <v>228</v>
      </c>
      <c r="B39" s="115"/>
      <c r="C39" s="116"/>
      <c r="D39" s="116"/>
      <c r="E39" s="115"/>
      <c r="F39" s="62"/>
      <c r="G39" s="62"/>
    </row>
    <row r="40" spans="1:7">
      <c r="A40" s="117" t="s">
        <v>216</v>
      </c>
      <c r="B40" s="113"/>
      <c r="C40" s="116"/>
      <c r="D40" s="116"/>
      <c r="E40" s="113"/>
      <c r="F40" s="69"/>
      <c r="G40" s="69"/>
    </row>
    <row r="41" spans="1:7">
      <c r="A41" s="60" t="s">
        <v>229</v>
      </c>
      <c r="B41" s="118"/>
      <c r="C41" s="119"/>
      <c r="D41" s="119"/>
      <c r="E41" s="118"/>
      <c r="F41" s="69"/>
      <c r="G41" s="69"/>
    </row>
    <row r="42" spans="1:7">
      <c r="A42" s="60"/>
      <c r="B42" s="115"/>
      <c r="C42" s="119"/>
      <c r="D42" s="119"/>
      <c r="E42" s="115"/>
      <c r="F42" s="62"/>
      <c r="G42" s="62"/>
    </row>
    <row r="43" spans="1:7">
      <c r="A43" s="55"/>
      <c r="B43" s="113"/>
      <c r="C43" s="119"/>
      <c r="D43" s="119"/>
      <c r="E43" s="113"/>
      <c r="F43" s="69"/>
      <c r="G43" s="69"/>
    </row>
    <row r="44" spans="1:7">
      <c r="A44" s="55"/>
      <c r="B44" s="113"/>
      <c r="C44" s="119"/>
      <c r="D44" s="119"/>
      <c r="E44" s="113"/>
      <c r="F44" s="69"/>
      <c r="G44" s="69"/>
    </row>
    <row r="45" spans="1:7">
      <c r="A45" s="73"/>
      <c r="B45" s="120"/>
      <c r="C45" s="121"/>
      <c r="D45" s="121"/>
      <c r="E45" s="120"/>
      <c r="F45" s="76"/>
      <c r="G45" s="76"/>
    </row>
    <row r="46" spans="1:7">
      <c r="A46" s="48" t="s">
        <v>230</v>
      </c>
      <c r="B46" s="122"/>
      <c r="C46" s="123"/>
      <c r="D46" s="122"/>
      <c r="E46" s="123"/>
      <c r="F46" s="54"/>
      <c r="G46" s="54"/>
    </row>
    <row r="47" spans="1:7">
      <c r="A47" s="99"/>
      <c r="B47" s="124"/>
      <c r="C47" s="123"/>
      <c r="D47" s="124"/>
      <c r="E47" s="123"/>
      <c r="F47" s="59"/>
      <c r="G47" s="59"/>
    </row>
    <row r="48" spans="1:7">
      <c r="A48" s="99"/>
      <c r="B48" s="125"/>
      <c r="C48" s="123"/>
      <c r="D48" s="125"/>
      <c r="E48" s="123"/>
      <c r="F48" s="69"/>
      <c r="G48" s="69"/>
    </row>
    <row r="49" spans="1:7">
      <c r="A49" s="60" t="s">
        <v>231</v>
      </c>
      <c r="B49" s="125"/>
      <c r="C49" s="123"/>
      <c r="D49" s="125"/>
      <c r="E49" s="123"/>
      <c r="F49" s="69"/>
      <c r="G49" s="69"/>
    </row>
    <row r="50" spans="1:7">
      <c r="A50" s="117" t="s">
        <v>216</v>
      </c>
      <c r="B50" s="125"/>
      <c r="C50" s="123"/>
      <c r="D50" s="125"/>
      <c r="E50" s="123"/>
      <c r="F50" s="62"/>
      <c r="G50" s="62"/>
    </row>
    <row r="51" spans="1:7">
      <c r="A51" s="60" t="s">
        <v>232</v>
      </c>
      <c r="B51" s="126"/>
      <c r="C51" s="123"/>
      <c r="D51" s="126"/>
      <c r="E51" s="123"/>
      <c r="F51" s="62"/>
      <c r="G51" s="62"/>
    </row>
    <row r="52" spans="1:7">
      <c r="A52" s="55"/>
      <c r="B52" s="125"/>
      <c r="C52" s="123"/>
      <c r="D52" s="125"/>
      <c r="E52" s="123"/>
      <c r="F52" s="69"/>
      <c r="G52" s="69"/>
    </row>
    <row r="53" spans="1:7">
      <c r="A53" s="55"/>
      <c r="B53" s="127"/>
      <c r="C53" s="123"/>
      <c r="D53" s="127"/>
      <c r="E53" s="123"/>
      <c r="F53" s="90"/>
      <c r="G53" s="90"/>
    </row>
    <row r="54" spans="1:7">
      <c r="A54" s="73"/>
      <c r="B54" s="128"/>
      <c r="C54" s="123"/>
      <c r="D54" s="128"/>
      <c r="E54" s="123"/>
      <c r="F54" s="62"/>
      <c r="G54" s="62"/>
    </row>
    <row r="55" spans="1:7">
      <c r="A55" s="48" t="s">
        <v>189</v>
      </c>
      <c r="B55" s="129"/>
      <c r="C55" s="130"/>
      <c r="D55" s="129"/>
      <c r="E55" s="130"/>
      <c r="F55" s="54"/>
      <c r="G55" s="54"/>
    </row>
    <row r="56" spans="1:7">
      <c r="A56" s="99"/>
      <c r="B56" s="131"/>
      <c r="C56" s="132"/>
      <c r="D56" s="131"/>
      <c r="E56" s="132"/>
      <c r="F56" s="90"/>
      <c r="G56" s="90"/>
    </row>
    <row r="57" spans="1:7">
      <c r="A57" s="60" t="s">
        <v>233</v>
      </c>
      <c r="B57" s="133"/>
      <c r="C57" s="134"/>
      <c r="D57" s="133"/>
      <c r="E57" s="134"/>
      <c r="F57" s="62"/>
      <c r="G57" s="69"/>
    </row>
    <row r="58" spans="1:7">
      <c r="A58" s="117" t="s">
        <v>216</v>
      </c>
      <c r="B58" s="133"/>
      <c r="C58" s="134"/>
      <c r="D58" s="133"/>
      <c r="E58" s="134"/>
      <c r="F58" s="62"/>
      <c r="G58" s="62"/>
    </row>
    <row r="59" spans="1:7">
      <c r="A59" s="60" t="s">
        <v>234</v>
      </c>
      <c r="B59" s="135"/>
      <c r="C59" s="136"/>
      <c r="D59" s="135"/>
      <c r="E59" s="136"/>
      <c r="F59" s="69"/>
      <c r="G59" s="69"/>
    </row>
    <row r="60" spans="1:7">
      <c r="A60" s="60"/>
      <c r="B60" s="133"/>
      <c r="C60" s="137"/>
      <c r="D60" s="133"/>
      <c r="E60" s="137"/>
      <c r="F60" s="62"/>
      <c r="G60" s="62"/>
    </row>
    <row r="61" spans="1:7">
      <c r="A61" s="99"/>
      <c r="B61" s="135"/>
      <c r="C61" s="136"/>
      <c r="D61" s="135"/>
      <c r="E61" s="136"/>
      <c r="F61" s="69"/>
      <c r="G61" s="69"/>
    </row>
    <row r="62" spans="1:7">
      <c r="A62" s="73"/>
      <c r="B62" s="133"/>
      <c r="C62" s="138"/>
      <c r="D62" s="133"/>
      <c r="E62" s="138"/>
      <c r="F62" s="139"/>
      <c r="G62" s="76"/>
    </row>
    <row r="63" spans="1:7">
      <c r="A63" s="71"/>
      <c r="B63" s="140"/>
      <c r="C63" s="141"/>
      <c r="D63" s="141"/>
      <c r="E63" s="141"/>
      <c r="F63" s="140"/>
      <c r="G63" s="142"/>
    </row>
    <row r="64" spans="1:7">
      <c r="A64" s="143" t="s">
        <v>235</v>
      </c>
      <c r="B64" s="144"/>
      <c r="C64" s="144"/>
      <c r="D64" s="144"/>
      <c r="E64" s="144"/>
      <c r="F64" s="144"/>
      <c r="G64" s="145"/>
    </row>
    <row r="65" spans="1:7">
      <c r="A65" s="146"/>
      <c r="B65" s="147"/>
      <c r="C65" s="147"/>
      <c r="D65" s="147"/>
      <c r="E65" s="147"/>
      <c r="F65" s="148"/>
      <c r="G65" s="147"/>
    </row>
    <row r="66" spans="1:7">
      <c r="A66" s="60" t="s">
        <v>236</v>
      </c>
      <c r="B66" s="149"/>
      <c r="C66" s="149"/>
      <c r="D66" s="149"/>
      <c r="E66" s="149"/>
      <c r="F66" s="150"/>
      <c r="G66" s="149"/>
    </row>
    <row r="67" spans="1:7">
      <c r="A67" s="55" t="s">
        <v>216</v>
      </c>
      <c r="B67" s="151"/>
      <c r="C67" s="151"/>
      <c r="D67" s="151"/>
      <c r="E67" s="151"/>
      <c r="F67" s="152"/>
      <c r="G67" s="151"/>
    </row>
    <row r="68" spans="1:7">
      <c r="A68" s="60" t="s">
        <v>237</v>
      </c>
      <c r="B68" s="151"/>
      <c r="C68" s="151"/>
      <c r="D68" s="151"/>
      <c r="E68" s="151"/>
      <c r="F68" s="152"/>
      <c r="G68" s="151"/>
    </row>
    <row r="69" spans="1:7">
      <c r="A69" s="153" t="s">
        <v>238</v>
      </c>
      <c r="B69" s="154"/>
      <c r="C69" s="154"/>
      <c r="D69" s="155"/>
      <c r="E69" s="154"/>
      <c r="F69" s="156"/>
      <c r="G69" s="154"/>
    </row>
    <row r="70" spans="1:7">
      <c r="A70" s="147"/>
      <c r="B70" s="48"/>
      <c r="C70" s="48"/>
      <c r="D70" s="48"/>
      <c r="E70" s="48"/>
      <c r="F70" s="48"/>
      <c r="G70" s="48"/>
    </row>
    <row r="71" spans="1:7">
      <c r="A71" s="60" t="s">
        <v>233</v>
      </c>
      <c r="B71" s="157"/>
      <c r="C71" s="157"/>
      <c r="D71" s="157"/>
      <c r="E71" s="157"/>
      <c r="F71" s="157"/>
      <c r="G71" s="157"/>
    </row>
    <row r="72" spans="1:7">
      <c r="A72" s="117" t="s">
        <v>216</v>
      </c>
      <c r="B72" s="154"/>
      <c r="C72" s="154"/>
      <c r="D72" s="154"/>
      <c r="E72" s="154"/>
      <c r="F72" s="158"/>
      <c r="G72" s="154"/>
    </row>
    <row r="73" spans="1:7">
      <c r="A73" s="60" t="s">
        <v>239</v>
      </c>
      <c r="B73" s="154"/>
      <c r="C73" s="154"/>
      <c r="D73" s="154"/>
      <c r="E73" s="154"/>
      <c r="F73" s="152"/>
      <c r="G73" s="154"/>
    </row>
    <row r="74" spans="1:7">
      <c r="A74" s="153" t="s">
        <v>240</v>
      </c>
      <c r="B74" s="154"/>
      <c r="C74" s="154"/>
      <c r="D74" s="154"/>
      <c r="E74" s="154"/>
      <c r="F74" s="155"/>
      <c r="G74" s="154"/>
    </row>
    <row r="75" spans="1:7">
      <c r="A75" s="159"/>
      <c r="B75" s="48"/>
      <c r="C75" s="48"/>
      <c r="D75" s="48"/>
      <c r="E75" s="48"/>
      <c r="F75" s="48"/>
      <c r="G75" s="48"/>
    </row>
    <row r="76" spans="1:7">
      <c r="A76" s="60" t="s">
        <v>241</v>
      </c>
      <c r="B76" s="157"/>
      <c r="C76" s="157"/>
      <c r="D76" s="157"/>
      <c r="E76" s="157"/>
      <c r="F76" s="157"/>
      <c r="G76" s="157"/>
    </row>
    <row r="77" spans="1:7">
      <c r="A77" s="55" t="s">
        <v>216</v>
      </c>
      <c r="B77" s="160"/>
      <c r="C77" s="160"/>
      <c r="D77" s="160"/>
      <c r="E77" s="158"/>
      <c r="F77" s="158"/>
      <c r="G77" s="160"/>
    </row>
    <row r="78" spans="1:7">
      <c r="A78" s="60" t="s">
        <v>242</v>
      </c>
      <c r="B78" s="161"/>
      <c r="C78" s="154"/>
      <c r="D78" s="161"/>
      <c r="E78" s="158"/>
      <c r="F78" s="158"/>
      <c r="G78" s="161"/>
    </row>
    <row r="79" spans="1:7">
      <c r="A79" s="153" t="s">
        <v>240</v>
      </c>
      <c r="B79" s="162"/>
      <c r="C79" s="162"/>
      <c r="D79" s="162"/>
      <c r="E79" s="163"/>
      <c r="F79" s="163"/>
      <c r="G79" s="162"/>
    </row>
  </sheetData>
  <mergeCells count="1">
    <mergeCell ref="B1:F1"/>
  </mergeCells>
  <conditionalFormatting sqref="A3:A8 A63:G64 G77:G79 A65:A79 A18:A62 G36:G53 G67:G74 D20 B20 D67:D68 D29:E35 C23 B67:B71 B73:B74 C78">
    <cfRule type="expression" dxfId="59" priority="60">
      <formula>SEARCH($B$1,A3)&gt;0</formula>
    </cfRule>
  </conditionalFormatting>
  <conditionalFormatting sqref="C36:C37">
    <cfRule type="expression" dxfId="58" priority="59">
      <formula>SEARCH($B$1,C36)&gt;0</formula>
    </cfRule>
  </conditionalFormatting>
  <conditionalFormatting sqref="D36:D45">
    <cfRule type="expression" dxfId="57" priority="58">
      <formula>SEARCH($B$1,D36)&gt;0</formula>
    </cfRule>
  </conditionalFormatting>
  <conditionalFormatting sqref="C38:C45">
    <cfRule type="expression" dxfId="56" priority="57">
      <formula>SEARCH($B$1,C38)&gt;0</formula>
    </cfRule>
  </conditionalFormatting>
  <conditionalFormatting sqref="A9:A17">
    <cfRule type="expression" dxfId="55" priority="56">
      <formula>SEARCH($B$1,A9)&gt;0</formula>
    </cfRule>
  </conditionalFormatting>
  <conditionalFormatting sqref="G75:G76">
    <cfRule type="expression" dxfId="54" priority="55">
      <formula>SEARCH($B$1,G75)&gt;0</formula>
    </cfRule>
  </conditionalFormatting>
  <conditionalFormatting sqref="G65:G66">
    <cfRule type="expression" dxfId="53" priority="54">
      <formula>SEARCH($B$1,G65)&gt;0</formula>
    </cfRule>
  </conditionalFormatting>
  <conditionalFormatting sqref="B21:D22 B18:D19 B24:D26 B23 D23 D27:D28 B3:B17 D3:E17">
    <cfRule type="expression" dxfId="52" priority="53">
      <formula>SEARCH($B$1,B3)&gt;0</formula>
    </cfRule>
  </conditionalFormatting>
  <conditionalFormatting sqref="G3:G35">
    <cfRule type="expression" dxfId="51" priority="52">
      <formula>SEARCH($B$1,G3)&gt;0</formula>
    </cfRule>
  </conditionalFormatting>
  <conditionalFormatting sqref="F36:F45">
    <cfRule type="expression" dxfId="50" priority="51">
      <formula>SEARCH($B$1,F36)&gt;0</formula>
    </cfRule>
  </conditionalFormatting>
  <conditionalFormatting sqref="B58:C62 B46:C49 F46:F53 B51:C56 C50">
    <cfRule type="expression" dxfId="49" priority="50">
      <formula>SEARCH($B$1,B46)&gt;0</formula>
    </cfRule>
  </conditionalFormatting>
  <conditionalFormatting sqref="B57">
    <cfRule type="expression" dxfId="48" priority="49">
      <formula>SEARCH($B$1,B57)&gt;0</formula>
    </cfRule>
  </conditionalFormatting>
  <conditionalFormatting sqref="C57">
    <cfRule type="expression" dxfId="47" priority="48">
      <formula>SEARCH($B$1,C57)&gt;0</formula>
    </cfRule>
  </conditionalFormatting>
  <conditionalFormatting sqref="C20">
    <cfRule type="expression" dxfId="46" priority="47">
      <formula>SEARCH($B$1,C20)&gt;0</formula>
    </cfRule>
  </conditionalFormatting>
  <conditionalFormatting sqref="F67:F73">
    <cfRule type="expression" dxfId="45" priority="46">
      <formula>SEARCH($B$1,F67)&gt;0</formula>
    </cfRule>
  </conditionalFormatting>
  <conditionalFormatting sqref="E77:F79">
    <cfRule type="expression" dxfId="44" priority="45">
      <formula>SEARCH($B$1,E77)&gt;0</formula>
    </cfRule>
  </conditionalFormatting>
  <conditionalFormatting sqref="F75:F76">
    <cfRule type="expression" dxfId="43" priority="44">
      <formula>SEARCH($B$1,F75)&gt;0</formula>
    </cfRule>
  </conditionalFormatting>
  <conditionalFormatting sqref="F65:F66">
    <cfRule type="expression" dxfId="42" priority="43">
      <formula>SEARCH($B$1,F65)&gt;0</formula>
    </cfRule>
  </conditionalFormatting>
  <conditionalFormatting sqref="C67:C74 C77 C79">
    <cfRule type="expression" dxfId="41" priority="42">
      <formula>SEARCH($B$1,C67)&gt;0</formula>
    </cfRule>
  </conditionalFormatting>
  <conditionalFormatting sqref="C75:C76">
    <cfRule type="expression" dxfId="40" priority="41">
      <formula>SEARCH($B$1,C75)&gt;0</formula>
    </cfRule>
  </conditionalFormatting>
  <conditionalFormatting sqref="C65:C66">
    <cfRule type="expression" dxfId="39" priority="40">
      <formula>SEARCH($B$1,C65)&gt;0</formula>
    </cfRule>
  </conditionalFormatting>
  <conditionalFormatting sqref="B77:B79">
    <cfRule type="expression" dxfId="38" priority="39">
      <formula>SEARCH($B$1,B77)&gt;0</formula>
    </cfRule>
  </conditionalFormatting>
  <conditionalFormatting sqref="B75:B76">
    <cfRule type="expression" dxfId="37" priority="38">
      <formula>SEARCH($B$1,B75)&gt;0</formula>
    </cfRule>
  </conditionalFormatting>
  <conditionalFormatting sqref="B65:B66">
    <cfRule type="expression" dxfId="36" priority="37">
      <formula>SEARCH($B$1,B65)&gt;0</formula>
    </cfRule>
  </conditionalFormatting>
  <conditionalFormatting sqref="D77:D79 D70:D74">
    <cfRule type="expression" dxfId="35" priority="36">
      <formula>SEARCH($B$1,D70)&gt;0</formula>
    </cfRule>
  </conditionalFormatting>
  <conditionalFormatting sqref="D75:D76">
    <cfRule type="expression" dxfId="34" priority="35">
      <formula>SEARCH($B$1,D75)&gt;0</formula>
    </cfRule>
  </conditionalFormatting>
  <conditionalFormatting sqref="D65:D66">
    <cfRule type="expression" dxfId="33" priority="34">
      <formula>SEARCH($B$1,D65)&gt;0</formula>
    </cfRule>
  </conditionalFormatting>
  <conditionalFormatting sqref="E67:E74">
    <cfRule type="expression" dxfId="32" priority="33">
      <formula>SEARCH($B$1,E67)&gt;0</formula>
    </cfRule>
  </conditionalFormatting>
  <conditionalFormatting sqref="E75:E76">
    <cfRule type="expression" dxfId="31" priority="32">
      <formula>SEARCH($B$1,E75)&gt;0</formula>
    </cfRule>
  </conditionalFormatting>
  <conditionalFormatting sqref="E65:E66">
    <cfRule type="expression" dxfId="30" priority="31">
      <formula>SEARCH($B$1,E65)&gt;0</formula>
    </cfRule>
  </conditionalFormatting>
  <conditionalFormatting sqref="E18:E28">
    <cfRule type="expression" dxfId="29" priority="30">
      <formula>SEARCH($B$1,E18)&gt;0</formula>
    </cfRule>
  </conditionalFormatting>
  <conditionalFormatting sqref="B50">
    <cfRule type="expression" dxfId="28" priority="29">
      <formula>SEARCH($B$1,B50)&gt;0</formula>
    </cfRule>
  </conditionalFormatting>
  <conditionalFormatting sqref="B29:B35">
    <cfRule type="expression" dxfId="27" priority="28">
      <formula>SEARCH($B$1,B29)&gt;0</formula>
    </cfRule>
  </conditionalFormatting>
  <conditionalFormatting sqref="B36:B45">
    <cfRule type="expression" dxfId="26" priority="27">
      <formula>SEARCH($B$1,B36)&gt;0</formula>
    </cfRule>
  </conditionalFormatting>
  <conditionalFormatting sqref="B27:B28">
    <cfRule type="expression" dxfId="25" priority="26">
      <formula>SEARCH($B$1,B27)&gt;0</formula>
    </cfRule>
  </conditionalFormatting>
  <conditionalFormatting sqref="F54:G54">
    <cfRule type="expression" dxfId="24" priority="25">
      <formula>SEARCH($B$1,F54)&gt;0</formula>
    </cfRule>
  </conditionalFormatting>
  <conditionalFormatting sqref="F58:G62 G57 F55:G56">
    <cfRule type="expression" dxfId="23" priority="24">
      <formula>SEARCH($B$1,F55)&gt;0</formula>
    </cfRule>
  </conditionalFormatting>
  <conditionalFormatting sqref="F57">
    <cfRule type="expression" dxfId="22" priority="23">
      <formula>SEARCH($B$1,F57)&gt;0</formula>
    </cfRule>
  </conditionalFormatting>
  <conditionalFormatting sqref="B72">
    <cfRule type="expression" dxfId="21" priority="22">
      <formula>SEARCH($B$1,B72)&gt;0</formula>
    </cfRule>
  </conditionalFormatting>
  <conditionalFormatting sqref="F23">
    <cfRule type="expression" dxfId="20" priority="21">
      <formula>SEARCH($B$1,F23)&gt;0</formula>
    </cfRule>
  </conditionalFormatting>
  <conditionalFormatting sqref="F21:F22 F18:F19 F24:F26">
    <cfRule type="expression" dxfId="19" priority="20">
      <formula>SEARCH($B$1,F18)&gt;0</formula>
    </cfRule>
  </conditionalFormatting>
  <conditionalFormatting sqref="F20">
    <cfRule type="expression" dxfId="18" priority="19">
      <formula>SEARCH($B$1,F20)&gt;0</formula>
    </cfRule>
  </conditionalFormatting>
  <conditionalFormatting sqref="F29:F30 F32:F34">
    <cfRule type="expression" dxfId="17" priority="18">
      <formula>SEARCH($B$1,F29)&gt;0</formula>
    </cfRule>
  </conditionalFormatting>
  <conditionalFormatting sqref="F27 F35">
    <cfRule type="expression" dxfId="16" priority="17">
      <formula>SEARCH($B$1,F27)&gt;0</formula>
    </cfRule>
  </conditionalFormatting>
  <conditionalFormatting sqref="F28">
    <cfRule type="expression" dxfId="15" priority="16">
      <formula>SEARCH($B$1,F28)&gt;0</formula>
    </cfRule>
  </conditionalFormatting>
  <conditionalFormatting sqref="C29:C30 C32:C34">
    <cfRule type="expression" dxfId="14" priority="15">
      <formula>SEARCH($B$1,C29)&gt;0</formula>
    </cfRule>
  </conditionalFormatting>
  <conditionalFormatting sqref="C27 C35">
    <cfRule type="expression" dxfId="13" priority="14">
      <formula>SEARCH($B$1,C27)&gt;0</formula>
    </cfRule>
  </conditionalFormatting>
  <conditionalFormatting sqref="C28">
    <cfRule type="expression" dxfId="12" priority="13">
      <formula>SEARCH($B$1,C28)&gt;0</formula>
    </cfRule>
  </conditionalFormatting>
  <conditionalFormatting sqref="E36:E45">
    <cfRule type="expression" dxfId="11" priority="12">
      <formula>SEARCH($B$1,E36)&gt;0</formula>
    </cfRule>
  </conditionalFormatting>
  <conditionalFormatting sqref="D46:D49 D51:D54">
    <cfRule type="expression" dxfId="10" priority="11">
      <formula>SEARCH($B$1,D46)&gt;0</formula>
    </cfRule>
  </conditionalFormatting>
  <conditionalFormatting sqref="D50">
    <cfRule type="expression" dxfId="9" priority="10">
      <formula>SEARCH($B$1,D50)&gt;0</formula>
    </cfRule>
  </conditionalFormatting>
  <conditionalFormatting sqref="E46:E54">
    <cfRule type="expression" dxfId="8" priority="9">
      <formula>SEARCH($B$1,E46)&gt;0</formula>
    </cfRule>
  </conditionalFormatting>
  <conditionalFormatting sqref="D58:D62 D55:D56">
    <cfRule type="expression" dxfId="7" priority="8">
      <formula>SEARCH($B$1,D55)&gt;0</formula>
    </cfRule>
  </conditionalFormatting>
  <conditionalFormatting sqref="D57">
    <cfRule type="expression" dxfId="6" priority="7">
      <formula>SEARCH($B$1,D57)&gt;0</formula>
    </cfRule>
  </conditionalFormatting>
  <conditionalFormatting sqref="E58:E62 E55:E56">
    <cfRule type="expression" dxfId="5" priority="6">
      <formula>SEARCH($B$1,E55)&gt;0</formula>
    </cfRule>
  </conditionalFormatting>
  <conditionalFormatting sqref="E57">
    <cfRule type="expression" dxfId="4" priority="5">
      <formula>SEARCH($B$1,E57)&gt;0</formula>
    </cfRule>
  </conditionalFormatting>
  <conditionalFormatting sqref="C3:C8">
    <cfRule type="expression" dxfId="3" priority="4">
      <formula>SEARCH($B$1,C3)&gt;0</formula>
    </cfRule>
  </conditionalFormatting>
  <conditionalFormatting sqref="C9:C17">
    <cfRule type="expression" dxfId="2" priority="3">
      <formula>SEARCH($B$1,C9)&gt;0</formula>
    </cfRule>
  </conditionalFormatting>
  <conditionalFormatting sqref="F9:F17">
    <cfRule type="expression" dxfId="1" priority="2">
      <formula>SEARCH($B$1,F9)&gt;0</formula>
    </cfRule>
  </conditionalFormatting>
  <conditionalFormatting sqref="F3:F8">
    <cfRule type="expression" dxfId="0" priority="1">
      <formula>SEARCH($B$1,F3)&gt;0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workbookViewId="0">
      <selection activeCell="H26" sqref="H26"/>
    </sheetView>
  </sheetViews>
  <sheetFormatPr defaultColWidth="11" defaultRowHeight="15.75"/>
  <sheetData/>
  <pageMargins left="0.75" right="0.75" top="1" bottom="1" header="0.5" footer="0.5"/>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tnLaunch_Click">
                <anchor moveWithCells="1" sizeWithCells="1">
                  <from>
                    <xdr:col>3</xdr:col>
                    <xdr:colOff>752475</xdr:colOff>
                    <xdr:row>7</xdr:row>
                    <xdr:rowOff>66675</xdr:rowOff>
                  </from>
                  <to>
                    <xdr:col>7</xdr:col>
                    <xdr:colOff>142875</xdr:colOff>
                    <xdr:row>10</xdr:row>
                    <xdr:rowOff>85725</xdr:rowOff>
                  </to>
                </anchor>
              </controlPr>
            </control>
          </mc:Choice>
        </mc:AlternateContent>
        <mc:AlternateContent xmlns:mc="http://schemas.openxmlformats.org/markup-compatibility/2006">
          <mc:Choice Requires="x14">
            <control shapeId="1027" r:id="rId5" name="Button 3">
              <controlPr defaultSize="0" print="0" autoFill="0" autoPict="0" macro="[0]!btnLaunch_user2_Click">
                <anchor moveWithCells="1" sizeWithCells="1">
                  <from>
                    <xdr:col>4</xdr:col>
                    <xdr:colOff>0</xdr:colOff>
                    <xdr:row>14</xdr:row>
                    <xdr:rowOff>0</xdr:rowOff>
                  </from>
                  <to>
                    <xdr:col>7</xdr:col>
                    <xdr:colOff>0</xdr:colOff>
                    <xdr:row>17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Prof and Courses</vt:lpstr>
      <vt:lpstr>All Courses</vt:lpstr>
      <vt:lpstr>Course Input </vt:lpstr>
      <vt:lpstr>Courses</vt:lpstr>
      <vt:lpstr>Instructions</vt:lpstr>
      <vt:lpstr>Num Sections</vt:lpstr>
      <vt:lpstr>Sections List</vt:lpstr>
      <vt:lpstr>Blocks</vt:lpstr>
      <vt:lpstr>Block Preference</vt:lpstr>
      <vt:lpstr>Professors</vt:lpstr>
      <vt:lpstr>FinalSchedule</vt:lpstr>
      <vt:lpstr>Select Professor Form</vt:lpstr>
    </vt:vector>
  </TitlesOfParts>
  <Company>Bentley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Kathryn Foley</dc:creator>
  <cp:lastModifiedBy>Zheng, Yunhan</cp:lastModifiedBy>
  <dcterms:created xsi:type="dcterms:W3CDTF">2017-02-15T01:36:27Z</dcterms:created>
  <dcterms:modified xsi:type="dcterms:W3CDTF">2017-03-27T00:27:02Z</dcterms:modified>
</cp:coreProperties>
</file>